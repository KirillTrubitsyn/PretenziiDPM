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ЭтаКнига" autoCompressPictures="0" defaultThemeVersion="124226"/>
  <mc:AlternateContent xmlns:mc="http://schemas.openxmlformats.org/markup-compatibility/2006">
    <mc:Choice Requires="x15">
      <x15ac:absPath xmlns:x15ac="http://schemas.microsoft.com/office/spreadsheetml/2010/11/ac" url="S:\Договорной_отдел\договоры\Договоры ДПМ-2\! Исполнение договоров\Новая форма отчета\"/>
    </mc:Choice>
  </mc:AlternateContent>
  <bookViews>
    <workbookView xWindow="0" yWindow="0" windowWidth="18825" windowHeight="9885" tabRatio="679" firstSheet="2" activeTab="3"/>
  </bookViews>
  <sheets>
    <sheet name="СЗ о претен исков " sheetId="27" state="hidden" r:id="rId1"/>
    <sheet name="Дебиторская задолженность" sheetId="28" state="hidden" r:id="rId2"/>
    <sheet name="Нарушения сроков" sheetId="24" r:id="rId3"/>
    <sheet name="претен исков" sheetId="25" r:id="rId4"/>
    <sheet name="расторгнут" sheetId="22" r:id="rId5"/>
    <sheet name="исполнен" sheetId="13" r:id="rId6"/>
  </sheets>
  <externalReferences>
    <externalReference r:id="rId7"/>
    <externalReference r:id="rId8"/>
  </externalReferences>
  <definedNames>
    <definedName name="_xlnm._FilterDatabase" localSheetId="1" hidden="1">'Дебиторская задолженность'!$A$7:$P$1017</definedName>
    <definedName name="_xlnm._FilterDatabase" localSheetId="5" hidden="1">исполнен!$B$2:$AF$61</definedName>
    <definedName name="_xlnm._FilterDatabase" localSheetId="2" hidden="1">'Нарушения сроков'!$A$1:$AU$249</definedName>
    <definedName name="_xlnm._FilterDatabase" localSheetId="3" hidden="1">'претен исков'!$B$2:$AD$44</definedName>
    <definedName name="_xlnm._FilterDatabase" localSheetId="0" hidden="1">'СЗ о претен исков '!$A$2:$AO$5</definedName>
    <definedName name="_xlnm.Print_Area" localSheetId="2">'Нарушения сроков'!#REF!</definedName>
  </definedNames>
  <calcPr calcId="162913" refMode="R1C1"/>
</workbook>
</file>

<file path=xl/calcChain.xml><?xml version="1.0" encoding="utf-8"?>
<calcChain xmlns="http://schemas.openxmlformats.org/spreadsheetml/2006/main">
  <c r="AP246" i="24" l="1"/>
  <c r="AP248" i="24"/>
  <c r="AP247" i="24"/>
  <c r="AP244" i="24"/>
  <c r="A63" i="25" l="1"/>
  <c r="L62" i="25"/>
  <c r="S62" i="25" s="1"/>
  <c r="L59" i="25"/>
  <c r="S59" i="25" s="1"/>
  <c r="L242" i="24" l="1"/>
  <c r="S242" i="24" s="1"/>
  <c r="A18" i="22" l="1"/>
  <c r="U56" i="25" l="1"/>
  <c r="L56" i="25"/>
  <c r="S56" i="25" s="1"/>
  <c r="L53" i="25"/>
  <c r="S53" i="25" s="1"/>
  <c r="L187" i="24" l="1"/>
  <c r="S187" i="24" s="1"/>
  <c r="K79" i="24"/>
  <c r="L80" i="24" s="1"/>
  <c r="L52" i="24"/>
  <c r="L15" i="24" l="1"/>
  <c r="S15" i="24" s="1"/>
  <c r="A61" i="13" l="1"/>
  <c r="L239" i="24"/>
  <c r="S239" i="24" s="1"/>
  <c r="L237" i="24"/>
  <c r="S237" i="24" s="1"/>
  <c r="L232" i="24"/>
  <c r="S232" i="24" s="1"/>
  <c r="L230" i="24"/>
  <c r="S230" i="24" s="1"/>
  <c r="S228" i="24"/>
  <c r="S226" i="24"/>
  <c r="L224" i="24"/>
  <c r="S224" i="24" s="1"/>
  <c r="L222" i="24"/>
  <c r="S222" i="24" s="1"/>
  <c r="L219" i="24"/>
  <c r="S219" i="24" s="1"/>
  <c r="L215" i="24"/>
  <c r="S215" i="24" s="1"/>
  <c r="L212" i="24"/>
  <c r="S212" i="24" s="1"/>
  <c r="L210" i="24"/>
  <c r="S210" i="24" s="1"/>
  <c r="L208" i="24"/>
  <c r="S208" i="24" s="1"/>
  <c r="S205" i="24"/>
  <c r="L202" i="24"/>
  <c r="S202" i="24" s="1"/>
  <c r="L200" i="24"/>
  <c r="S200" i="24" s="1"/>
  <c r="L197" i="24"/>
  <c r="S197" i="24" s="1"/>
  <c r="S194" i="24"/>
  <c r="L192" i="24"/>
  <c r="S192" i="24" s="1"/>
  <c r="L190" i="24"/>
  <c r="S190" i="24" s="1"/>
  <c r="S176" i="24"/>
  <c r="S174" i="24"/>
  <c r="L172" i="24"/>
  <c r="S172" i="24" s="1"/>
  <c r="L169" i="24"/>
  <c r="S169" i="24" s="1"/>
  <c r="L167" i="24"/>
  <c r="S167" i="24" s="1"/>
  <c r="L165" i="24"/>
  <c r="S165" i="24" s="1"/>
  <c r="L163" i="24"/>
  <c r="S163" i="24" s="1"/>
  <c r="L161" i="24"/>
  <c r="S161" i="24" s="1"/>
  <c r="L159" i="24"/>
  <c r="S159" i="24" s="1"/>
  <c r="L156" i="24"/>
  <c r="L154" i="24"/>
  <c r="S154" i="24" s="1"/>
  <c r="L152" i="24"/>
  <c r="S152" i="24" s="1"/>
  <c r="L147" i="24"/>
  <c r="S147" i="24" s="1"/>
  <c r="L145" i="24"/>
  <c r="S145" i="24" s="1"/>
  <c r="L143" i="24"/>
  <c r="L141" i="24"/>
  <c r="L139" i="24"/>
  <c r="L137" i="24"/>
  <c r="S137" i="24" s="1"/>
  <c r="L135" i="24"/>
  <c r="U133" i="24"/>
  <c r="S133" i="24"/>
  <c r="L131" i="24"/>
  <c r="S131" i="24" s="1"/>
  <c r="L129" i="24"/>
  <c r="S129" i="24" s="1"/>
  <c r="L127" i="24"/>
  <c r="S127" i="24" s="1"/>
  <c r="L125" i="24"/>
  <c r="S125" i="24" s="1"/>
  <c r="S123" i="24"/>
  <c r="L121" i="24"/>
  <c r="S121" i="24" s="1"/>
  <c r="L119" i="24"/>
  <c r="S119" i="24" s="1"/>
  <c r="S116" i="24"/>
  <c r="L114" i="24"/>
  <c r="L112" i="24"/>
  <c r="S112" i="24" s="1"/>
  <c r="L110" i="24"/>
  <c r="S110" i="24" s="1"/>
  <c r="L108" i="24"/>
  <c r="S108" i="24" s="1"/>
  <c r="L106" i="24"/>
  <c r="S106" i="24" s="1"/>
  <c r="L104" i="24"/>
  <c r="S104" i="24" s="1"/>
  <c r="L102" i="24"/>
  <c r="S102" i="24" s="1"/>
  <c r="L100" i="24"/>
  <c r="S100" i="24" s="1"/>
  <c r="L98" i="24"/>
  <c r="S98" i="24" s="1"/>
  <c r="L96" i="24"/>
  <c r="S96" i="24" s="1"/>
  <c r="L94" i="24"/>
  <c r="S94" i="24" s="1"/>
  <c r="L91" i="24"/>
  <c r="S91" i="24" s="1"/>
  <c r="L85" i="24"/>
  <c r="S85" i="24" s="1"/>
  <c r="U82" i="24"/>
  <c r="L82" i="24"/>
  <c r="S82" i="24" s="1"/>
  <c r="S76" i="24"/>
  <c r="L74" i="24"/>
  <c r="S74" i="24" s="1"/>
  <c r="L62" i="24"/>
  <c r="S62" i="24" s="1"/>
  <c r="L59" i="24"/>
  <c r="S59" i="24" s="1"/>
  <c r="L56" i="24"/>
  <c r="S56" i="24" s="1"/>
  <c r="Q1018" i="28" l="1"/>
  <c r="U35" i="24" l="1"/>
  <c r="S51" i="25"/>
  <c r="Q1017" i="28" l="1"/>
  <c r="U27" i="24" l="1"/>
  <c r="L60" i="13" l="1"/>
  <c r="S60" i="13" s="1"/>
  <c r="L58" i="13"/>
  <c r="S58" i="13" s="1"/>
  <c r="L56" i="13"/>
  <c r="S56" i="13" s="1"/>
  <c r="L54" i="13"/>
  <c r="S54" i="13" s="1"/>
  <c r="L51" i="13"/>
  <c r="S51" i="13" s="1"/>
  <c r="L44" i="25" l="1"/>
  <c r="S44" i="25" s="1"/>
  <c r="S37" i="24" l="1"/>
  <c r="S35" i="24"/>
  <c r="S29" i="24"/>
  <c r="S52" i="24"/>
  <c r="L49" i="24"/>
  <c r="S49" i="24" s="1"/>
  <c r="L47" i="24"/>
  <c r="S47" i="24" s="1"/>
  <c r="L43" i="24"/>
  <c r="S43" i="24" s="1"/>
  <c r="L39" i="24"/>
  <c r="S39" i="24" s="1"/>
  <c r="L33" i="24"/>
  <c r="S33" i="24" s="1"/>
  <c r="L27" i="24"/>
  <c r="S27" i="24" s="1"/>
  <c r="L25" i="24"/>
  <c r="S25" i="24" s="1"/>
  <c r="L40" i="25" l="1"/>
  <c r="S40" i="25" s="1"/>
  <c r="L37" i="25" l="1"/>
  <c r="S37" i="25" s="1"/>
  <c r="L33" i="25" l="1"/>
  <c r="J33" i="25"/>
  <c r="L30" i="25"/>
  <c r="S30" i="25" s="1"/>
  <c r="L47" i="13" l="1"/>
  <c r="S47" i="13" s="1"/>
  <c r="L45" i="13" l="1"/>
  <c r="S45" i="13" s="1"/>
  <c r="L26" i="25" l="1"/>
  <c r="S24" i="25" l="1"/>
  <c r="L22" i="25" l="1"/>
  <c r="S22" i="25" s="1"/>
  <c r="L15" i="25" l="1"/>
  <c r="S15" i="25" s="1"/>
  <c r="L43" i="13" l="1"/>
  <c r="R15" i="27" l="1"/>
  <c r="R22" i="27"/>
  <c r="K22" i="27"/>
  <c r="R20" i="27"/>
  <c r="K18" i="27"/>
  <c r="R18" i="27" s="1"/>
  <c r="K15" i="27"/>
  <c r="AH21" i="27"/>
  <c r="T21" i="27"/>
  <c r="K7" i="27"/>
  <c r="R7" i="27" s="1"/>
  <c r="AK13" i="27"/>
  <c r="K13" i="27"/>
  <c r="R13" i="27" s="1"/>
  <c r="K11" i="27"/>
  <c r="R11" i="27" s="1"/>
  <c r="K9" i="27"/>
  <c r="R9" i="27" s="1"/>
  <c r="K5" i="27"/>
  <c r="R5" i="27" s="1"/>
  <c r="L19" i="25" l="1"/>
  <c r="S19" i="25" s="1"/>
  <c r="L17" i="25"/>
  <c r="S17" i="25" s="1"/>
  <c r="L13" i="25"/>
  <c r="S13" i="25" s="1"/>
  <c r="L41" i="13" l="1"/>
  <c r="L38" i="13"/>
  <c r="S38" i="13" s="1"/>
  <c r="L17" i="22" l="1"/>
  <c r="L14" i="22"/>
  <c r="L11" i="22" l="1"/>
  <c r="L5" i="25" l="1"/>
  <c r="L35" i="13" l="1"/>
  <c r="S35" i="13" s="1"/>
  <c r="L28" i="13" l="1"/>
  <c r="L25" i="13" l="1"/>
  <c r="L23" i="13"/>
  <c r="L21" i="13" l="1"/>
  <c r="L18" i="13" l="1"/>
  <c r="L15" i="13"/>
  <c r="L8" i="22"/>
  <c r="L12" i="13" l="1"/>
  <c r="L10" i="13" l="1"/>
  <c r="K5" i="13"/>
</calcChain>
</file>

<file path=xl/comments1.xml><?xml version="1.0" encoding="utf-8"?>
<comments xmlns="http://schemas.openxmlformats.org/spreadsheetml/2006/main">
  <authors>
    <author>Корнева Кристина Олеговна \ Kristina Korneva</author>
  </authors>
  <commentList>
    <comment ref="S41" authorId="0" shapeId="0">
      <text>
        <r>
          <rPr>
            <b/>
            <sz val="9"/>
            <color indexed="81"/>
            <rFont val="Tahoma"/>
            <family val="2"/>
            <charset val="204"/>
          </rPr>
          <t>Корнева Кристина Олеговна \ Kristina Korneva:</t>
        </r>
        <r>
          <rPr>
            <sz val="9"/>
            <color indexed="81"/>
            <rFont val="Tahoma"/>
            <family val="2"/>
            <charset val="204"/>
          </rPr>
          <t xml:space="preserve">
разница с суммой договора и фактом работ 65 052 675,83</t>
        </r>
      </text>
    </comment>
  </commentList>
</comments>
</file>

<file path=xl/sharedStrings.xml><?xml version="1.0" encoding="utf-8"?>
<sst xmlns="http://schemas.openxmlformats.org/spreadsheetml/2006/main" count="12444" uniqueCount="4795">
  <si>
    <t>Наименование контрагента (сокращ)</t>
  </si>
  <si>
    <t>Наименование контрагента (полное)</t>
  </si>
  <si>
    <t>№ договора</t>
  </si>
  <si>
    <t>Сумма, руб.</t>
  </si>
  <si>
    <t>Куратор</t>
  </si>
  <si>
    <t>Предмет</t>
  </si>
  <si>
    <t>Подписант договора</t>
  </si>
  <si>
    <t>Объект</t>
  </si>
  <si>
    <t>ИНН</t>
  </si>
  <si>
    <t>Контакты КА</t>
  </si>
  <si>
    <t>SAP ID</t>
  </si>
  <si>
    <t>нет</t>
  </si>
  <si>
    <t>Яковлев М.В.</t>
  </si>
  <si>
    <t>Елисеев Г.П.</t>
  </si>
  <si>
    <t>ООО "СтройМастер"</t>
  </si>
  <si>
    <t>Янов С.Р.</t>
  </si>
  <si>
    <t>Егоров А.В.</t>
  </si>
  <si>
    <t>2723161148</t>
  </si>
  <si>
    <t>ДС № 1</t>
  </si>
  <si>
    <t>АО "Сибтехэнерго"</t>
  </si>
  <si>
    <t>ООО "ВЭМ"</t>
  </si>
  <si>
    <t>ООО "ЭИ"</t>
  </si>
  <si>
    <t>Общество с ограниченной ответственностью "Энергоинжиниринг"</t>
  </si>
  <si>
    <t>СИБЭРСИБЭМ-22/2359</t>
  </si>
  <si>
    <t xml:space="preserve">Выполнение комплекса строительно-монтажных работ по модернизации  котельного агрегата ст.№12 энергоблока № 8 </t>
  </si>
  <si>
    <t>ВЫПИСКА ИЗ ПРОТОКОЛА КЗ_11.04.2022_В7.PDF</t>
  </si>
  <si>
    <t>Аванс в размере 10% от стоимости договора 64 300 000,00 (шестьдесят четыре миллиона триста тысяч рублей) в том числе НДС 20% 10 716 666,67 (десять миллионов семьсот шестнадцать тысяч шестьсот шестдесят шесть рублей 67 копеек). В течение 10 рабочих дней с момента предоставлением Субподрядчика оригинала  банковской гарантии на сумму авансового платежа и счета на оплату.</t>
  </si>
  <si>
    <t>ООО "Декор"</t>
  </si>
  <si>
    <t>Общество с ограниченной ответственностью "Декор"</t>
  </si>
  <si>
    <t>ООО "Промстрой"</t>
  </si>
  <si>
    <t>ИП Устинов Сергей Юрьевич</t>
  </si>
  <si>
    <t>Общество с ограниченной ответственностью "СтройМастер"</t>
  </si>
  <si>
    <t>СИБЭРСИБЭМ-22/2258</t>
  </si>
  <si>
    <t xml:space="preserve">выполнение комплекса СМР по модернизации ТВП (блоки I тупени средние), ПГВП и топочно-горелочных устройств котельного агрегата ст.№12 </t>
  </si>
  <si>
    <t>2022.04.01 ВЫПИСКА ИЗ ПРОТОКОЛА УК №46 ВОПРОС №1.6 V2.PDF</t>
  </si>
  <si>
    <t>60 к.д.</t>
  </si>
  <si>
    <t>Общество с ограниченной ответственностью "Промстрой"</t>
  </si>
  <si>
    <t xml:space="preserve"> </t>
  </si>
  <si>
    <t>Гуляев Е.В.</t>
  </si>
  <si>
    <t>Савуляк А.Н.</t>
  </si>
  <si>
    <t>-</t>
  </si>
  <si>
    <t>Гаврилов А.В.</t>
  </si>
  <si>
    <t>СИБЭРСИБЭМ-22/5373</t>
  </si>
  <si>
    <t>ООО "ВАСС"</t>
  </si>
  <si>
    <t>Сахаров А.Б.</t>
  </si>
  <si>
    <t>ООО "Алькад"</t>
  </si>
  <si>
    <t>Общество с ограниченной ответственностью "Алькад"</t>
  </si>
  <si>
    <t>СИБЭРСИБЭМ-22/5729</t>
  </si>
  <si>
    <t>Аванс 14%</t>
  </si>
  <si>
    <t>Выполнение комплекса строительно-монтажных работ системы вентиляции 
и отопления блоков ст.№1 и ст.№8, включая приобретение оборудования и материалов</t>
  </si>
  <si>
    <t>с момента заключения- по 01.03.2023</t>
  </si>
  <si>
    <t xml:space="preserve">
ВЫПИСКА ЦЗК 82 СИБЭМ ОТ 02.11.2022 (ЗАКУПКА 7487-2022-ИП-СИБЭМ)</t>
  </si>
  <si>
    <t>Правила поведенеия в общежитии</t>
  </si>
  <si>
    <t>Лисиенко В.А</t>
  </si>
  <si>
    <t>Важенин Е.С.</t>
  </si>
  <si>
    <t xml:space="preserve"> Важенин Е.С.</t>
  </si>
  <si>
    <t>СИБЭРСИБЭМ-22/6211</t>
  </si>
  <si>
    <t>выполнение комплекса работ по демонтажу и монтажу тепловой изоляции котлоагрегатов ст. № 1 (1А) и ст. № 2 (1Б) энергоблока № 1</t>
  </si>
  <si>
    <t>с 27.12.2022 по 20.02.2023</t>
  </si>
  <si>
    <t>ВЫПИСКА ЦЗК 95 СИБЭМ ОТ 14.12.2022 (ЗАКУПКА №7360-2022-ИП-СИБЭМ)</t>
  </si>
  <si>
    <t>Егоров С. С.</t>
  </si>
  <si>
    <t>СП ООО «SHARQTEHENERGOTA’MIR»</t>
  </si>
  <si>
    <t xml:space="preserve">Совместное предприятие в форме Общества с ограниченной ответственностью «SHARQTEHENERGOTA’MIR»  </t>
  </si>
  <si>
    <t>ООО "ЭМТ"</t>
  </si>
  <si>
    <t>Общество с ограниченной ответственностью"ЭнергоМонтажТехнологии"</t>
  </si>
  <si>
    <t>Акционерное общество "Сибирский инженерно-аналитический центр"</t>
  </si>
  <si>
    <t>01.05.2022-01.02.2023</t>
  </si>
  <si>
    <t>30 к.д. с момента заключения договора</t>
  </si>
  <si>
    <t>Соглашение о расторжении договора</t>
  </si>
  <si>
    <t>ООО "Крепость"</t>
  </si>
  <si>
    <t>СИБЭРСИБЭМ-23/1076</t>
  </si>
  <si>
    <t>ООО "ЕСК СУЭК"</t>
  </si>
  <si>
    <t>Продление срока</t>
  </si>
  <si>
    <t>2023.03.07 ВЫПИСКА ИЗ ПРОТОКОЛА УК №64 ВОПРОС №1.6</t>
  </si>
  <si>
    <t>Общество с ограниченной ответственностью «Востокнефтехимизоляция»</t>
  </si>
  <si>
    <r>
      <t>ООО «</t>
    </r>
    <r>
      <rPr>
        <sz val="10"/>
        <color theme="1"/>
        <rFont val="Times New Roman"/>
        <family val="1"/>
        <charset val="204"/>
      </rPr>
      <t>ВНХИ</t>
    </r>
    <r>
      <rPr>
        <sz val="12"/>
        <color theme="1"/>
        <rFont val="Times New Roman"/>
        <family val="1"/>
        <charset val="204"/>
      </rPr>
      <t>»</t>
    </r>
  </si>
  <si>
    <t>СИБЭРСИБЭМ-23/1679</t>
  </si>
  <si>
    <t>Алексеенко А.А.</t>
  </si>
  <si>
    <t>СИБЭРСИБЭМ-23/1984</t>
  </si>
  <si>
    <t xml:space="preserve"> Елисеев Герман Петрович</t>
  </si>
  <si>
    <t>СИБЭРСИБЭМ-23/1942</t>
  </si>
  <si>
    <t>Дополнительный объем работ, продление сроков</t>
  </si>
  <si>
    <t>ДС №1 к СИБЭРСИБЭМ-23/2359</t>
  </si>
  <si>
    <t>ВЫПИСКА ИЗ ПРОТОКОЛА КЗ 1 ОТ 31-07-2023_В2_.PDF</t>
  </si>
  <si>
    <t>до 15.07.2023</t>
  </si>
  <si>
    <t>Алексеенко Андрей Анатольевич</t>
  </si>
  <si>
    <t>СИБЭРСИБЭМ-23/2615</t>
  </si>
  <si>
    <t xml:space="preserve"> Дополнительный объем работ</t>
  </si>
  <si>
    <t xml:space="preserve"> Карлов Виталий Юрьевич</t>
  </si>
  <si>
    <t>СИБЭРСИБЭМ-23/2363</t>
  </si>
  <si>
    <r>
      <t>А</t>
    </r>
    <r>
      <rPr>
        <sz val="11"/>
        <color rgb="FF000000"/>
        <rFont val="Times New Roman"/>
        <family val="1"/>
        <charset val="204"/>
      </rPr>
      <t xml:space="preserve">ванс в размере 30 (тридцать) % от Цены Договора, что составляет 17 964 387,72 руб.  в течение 15 (пятнадцати) рабочих дней с момента предоставления Субподрядчиком оригинала банковской гарантии возврата авансового платежа и счета на предоплату. </t>
    </r>
  </si>
  <si>
    <t>Выполнение комплекса строительно-монтажных работ по монтажу систем гидрозолоудаления на энергоблоке № 5 Приморской ГРЭС</t>
  </si>
  <si>
    <t>ВЫПИСКА ИЗ ПРОТОКОЛА № 65-СибЭМ от 30.08.2023 г. (Закупка № 5876-2023-ИП-СибЭМ)</t>
  </si>
  <si>
    <t>Обратный выкуп</t>
  </si>
  <si>
    <t>ВЫПИСКА ЦЗК 76-СИБЭМ ОТ 06.10.2023 (ЗАКУПКА №7487-2022-ИП-СИБЭМ)ДС</t>
  </si>
  <si>
    <t>Продление сроков</t>
  </si>
  <si>
    <t>Продление срока выполнения работ</t>
  </si>
  <si>
    <t xml:space="preserve"> Общество с ограниченной ответственностью "Алькад"</t>
  </si>
  <si>
    <t>Аванс в размере 30% от Цены Договора, указанной в п. 5.1 Договора. В течении 5 рабочих дней с момента предоставления Субподрядчиком оригинала банковской гарантии возврата авансового платежа и счета на предоплату.</t>
  </si>
  <si>
    <t>ПЗ</t>
  </si>
  <si>
    <t>Выписка ЦЗК 77-СибЭМ от 11.10.2023 (Закупка №7036-2023-ИП-СибЭМ) изм</t>
  </si>
  <si>
    <t>АО "СибИАЦ"</t>
  </si>
  <si>
    <t>4205062301</t>
  </si>
  <si>
    <t>№8</t>
  </si>
  <si>
    <t>Сюзев С.В.</t>
  </si>
  <si>
    <t>Карлов В.Ю.</t>
  </si>
  <si>
    <t>СИБЭРСИБЭМ-23/3646</t>
  </si>
  <si>
    <t>СИБЭРСИБЭМ-23/3819</t>
  </si>
  <si>
    <t>Дополнительный объем работ</t>
  </si>
  <si>
    <t>ООО "ВНХИ"</t>
  </si>
  <si>
    <t>Корректировка технической документации</t>
  </si>
  <si>
    <t>ВЫПИСКА ЦЗК-88 СИБЭМ ОТ 17.11.2023.PDF</t>
  </si>
  <si>
    <t>ДС № 1 СИБЭРСИБЭМ-23/2363</t>
  </si>
  <si>
    <t>с момента заключения договора по 31.10.2023г.</t>
  </si>
  <si>
    <t>ВЫПИСКА ИЗ ПРОТОКОЛА № 97-СибЭМ от15.12.2023 г. (Закупка № 5876-2023-ИП-СибЭМ)</t>
  </si>
  <si>
    <t>Дополнительный объем, продление сроков</t>
  </si>
  <si>
    <t>ДС № 2 СИБЭРСИБЭМ-23/2363</t>
  </si>
  <si>
    <t>с момента заключения договора по 07.02.2024г.</t>
  </si>
  <si>
    <t>с момента заключения договора по 09.06.2024г.</t>
  </si>
  <si>
    <t>ВЫПИСКА ИЗ ПРОТОКОЛА № 9-СибЭМ от 07.02.2024 (Закупка № 5876-2023-ИП-СибЭМ)</t>
  </si>
  <si>
    <t>Савуляк А.Н</t>
  </si>
  <si>
    <t>Общество с ограниченной ответственностью "ЭУТИТ-БАЗАЛЬТ"</t>
  </si>
  <si>
    <t>ООО "ЭУТИТ-БАЗАЛЬТ"</t>
  </si>
  <si>
    <t>Изменение порядка оплаты и редакции приложения по ОТ и ПБ</t>
  </si>
  <si>
    <t>ВЫПИСКА ЦЗК 11-СИБЭМ ОТ 14.02.2024 (ЗАКУПКА №7487-2023-ИП-СИБЭМ)ДС3</t>
  </si>
  <si>
    <t>СИБЭРСИБЭМ-23/2510</t>
  </si>
  <si>
    <t>выполнение комплекса строительно-монтажных работ по устройству опорных железобетонных конструкций под золошлакопроводы наружные энергоблока № 8 Приморской ГРЭС.</t>
  </si>
  <si>
    <t>продление срока</t>
  </si>
  <si>
    <t>Выписка ЦЗК 21-СибЭМ от 20.03.2024</t>
  </si>
  <si>
    <t>Збараг Р.И.</t>
  </si>
  <si>
    <t>Корректировка приложения по ТБ</t>
  </si>
  <si>
    <t>ООО "Энергосила"</t>
  </si>
  <si>
    <t>Общество с ограниченной ответственностью "Энергосила"</t>
  </si>
  <si>
    <t>ООО "АЛЬКАД"</t>
  </si>
  <si>
    <t xml:space="preserve"> АО "КМУ "ГИДРОМОНТАЖ</t>
  </si>
  <si>
    <t>АО "КМУ "ГИДРОМОНТАЖ</t>
  </si>
  <si>
    <t>СИБЭРСИБЭМ-24/2013</t>
  </si>
  <si>
    <t>Общество с ограниченной ответственностью «ЭнергоМонтажТехнологии»</t>
  </si>
  <si>
    <t>СИБЭРСИБЭМ-24/2237</t>
  </si>
  <si>
    <t xml:space="preserve">аванс в размере 30 % (тридцать) от Цены Договора, указанной в п. 3.2 Договора в течение 10 (десяти) рабочих дней с момента предоставления Субподрядчиком счета на оплату и оригинала Банковской гарантии </t>
  </si>
  <si>
    <t xml:space="preserve">Выполнение комплекса работ по демонтажу и монтажу железобетонных конструкций энергоблока № 7 Приморской ГРЭС </t>
  </si>
  <si>
    <t xml:space="preserve">не более 200 календарных дней с момента передачи строительной площадки. </t>
  </si>
  <si>
    <t>ВЫПИСКА ЦЗК 33 от 08.05.2024 (ЗАКУПКА № 2882-2024-ИП-СИБЭМ)</t>
  </si>
  <si>
    <t>ДС № 3 СИБЭРСИБЭМ-23/2363</t>
  </si>
  <si>
    <t>с момента заключения договора по 30.07.2024г.</t>
  </si>
  <si>
    <t>ВЫПИСКА ИЗ ПРОТОКОЛА № 42-СибЭМ от 11.06.2024 (Закупка № 5876-2023-ИП-СибЭМ)</t>
  </si>
  <si>
    <t>Всего платежи по Договору, руб.</t>
  </si>
  <si>
    <t>В т.ч. выплаченный авас</t>
  </si>
  <si>
    <t>Банковская гарантия</t>
  </si>
  <si>
    <t>Реквизиты</t>
  </si>
  <si>
    <t>Сумма</t>
  </si>
  <si>
    <t>Срок действия</t>
  </si>
  <si>
    <t>Информация о претензионной работе (дата, предмет, сумма)</t>
  </si>
  <si>
    <t>Результат претензионной работы</t>
  </si>
  <si>
    <t>Условия авансирования</t>
  </si>
  <si>
    <t>Выполнение работ, руб.</t>
  </si>
  <si>
    <t>Код контрагента в SAP</t>
  </si>
  <si>
    <t>Дата договора/ДС</t>
  </si>
  <si>
    <t>Общая стоимость договора с учетом ДС, руб.</t>
  </si>
  <si>
    <t>Протокол закупочного органа</t>
  </si>
  <si>
    <t>Срок выполнения работ по договору</t>
  </si>
  <si>
    <t>Примечание (истечение  сроков СМР, истечение сроков БГ, договор исполнен)</t>
  </si>
  <si>
    <t>стройгородок</t>
  </si>
  <si>
    <t>№1, №8</t>
  </si>
  <si>
    <t>№1</t>
  </si>
  <si>
    <t>№5</t>
  </si>
  <si>
    <t>Дата завершения работ по договору с учетом ДС</t>
  </si>
  <si>
    <t>20.02.20023</t>
  </si>
  <si>
    <t>Ермолаев В.В.</t>
  </si>
  <si>
    <t>авансовый платеж в соответствии с п. 6.1. Договора. Непогашенная сумма авансового платежа, подлежащая зачету, на момент заключения настоящего дополнительного соглашения составляет 6 876 751,14 руб. (Шесть миллионов восемьсот семьдесят шесть тысяч семьсот пятьдесят один рубль 14 копеек)</t>
  </si>
  <si>
    <t>70 к.д. с момента заключение договора</t>
  </si>
  <si>
    <t>ООО ПО "Радиан"</t>
  </si>
  <si>
    <t>Общество с ограниченной ответственностью Производственно-Строительная Компания БАЙС</t>
  </si>
  <si>
    <t xml:space="preserve"> ООО "ПСК "Байс"</t>
  </si>
  <si>
    <t>Выполнение комплекса строительно-монтажных работ по доведению до норматива Главного Корпуса 100 Приморской ГРЭС</t>
  </si>
  <si>
    <t>№ 1, 2, 3, 4</t>
  </si>
  <si>
    <t>Оплата авансовых платежей осуществляется в течение 10 (десяти) календарных дней с момента предоставления Субподрядчиком счета на предоплату и оригинала Банковской гарантии возврата авансового платежа. Лимит аванса - 20 % от цены договора.</t>
  </si>
  <si>
    <t xml:space="preserve">Завершение работ на энергоблоках № 1; № 3 - 31.12.2024 г.
Завершение работ энергоблоках № 2; № 4 - 31.12.2025 г.
</t>
  </si>
  <si>
    <t>31.12.2025 г.</t>
  </si>
  <si>
    <t>ВЫПИСКА ИЗ ПРОТОКОЛА КЗ 8 ОТ 10-06-2024_В4</t>
  </si>
  <si>
    <t>info@bais.ru,smeta@bais.ru</t>
  </si>
  <si>
    <t>Дополнительный объем</t>
  </si>
  <si>
    <t>Выписка ЦЗК 39-СибЭМ от 31.05.2024 (Закупка №7036-2023-ИП-СибЭМ)ДС3</t>
  </si>
  <si>
    <t>Выполнение комплекса строительно-монтажных работ по устранению дефектов элементов каркаса и устройству кровельного покрытия главного корпуса 200 МВт Приморской ГРЭС</t>
  </si>
  <si>
    <t>Оплата авансовых платежей осуществляется в течение 10 (десяти) календарных дней с момента предоставления Субподрядчиком счета на предоплату и оригинала Банковской гарантии возврата авансового платежа. Лимит аванса  20% от цены договора</t>
  </si>
  <si>
    <t>Завершение строительно-монтажных Работ на энергоблоках № 8, № 9 не позднее 31.10.2024 г.           . Завершение строительно-монтажных Работ на энергоблоках № 5, № 6, № 7 не позднее 31.10.2025 г.</t>
  </si>
  <si>
    <t>Выписка из Протокола КЗ 8 от 10-06-2024_В4</t>
  </si>
  <si>
    <t>№ 5,6,7,8,9</t>
  </si>
  <si>
    <t>ООО "ЭСМ"</t>
  </si>
  <si>
    <t>Общество с ограниченной ответственностью "Энергостроймонтаж"</t>
  </si>
  <si>
    <t>Общество с ограниченной ответственностью "ТЕХНОМОНТАЖ"</t>
  </si>
  <si>
    <t>ООО "ТЕХНОМОНТАЖ"</t>
  </si>
  <si>
    <t>бл. 9</t>
  </si>
  <si>
    <t xml:space="preserve"> Общество с ограниченной ответственностью "СтройМастер"</t>
  </si>
  <si>
    <t>АО "КМУ "ГИДРОМОНТАЖ"</t>
  </si>
  <si>
    <t>бл. 5</t>
  </si>
  <si>
    <t xml:space="preserve"> ООО "ЭМТ"</t>
  </si>
  <si>
    <t>ООО "ММК строй"</t>
  </si>
  <si>
    <t>Общество с ограниченной ответственностью "ММК строй"</t>
  </si>
  <si>
    <t>СИБЭРСИБЭМ-24/2774</t>
  </si>
  <si>
    <t>Вполнение комплекса строительно-монтажных работ по выполнению внутренней отделки главного корпуса блоков 200 МВт Приморской ГРЭС в границах ячеек энергоблоков № 5, №6, №7, №8, № 9, включая поставку материалов</t>
  </si>
  <si>
    <t>бл.5,6,7,8,9</t>
  </si>
  <si>
    <t>с момента заключения договор  бл. №5,8,9 не позднее 31.12.2024 г., бл. 6,7  не позднее 31.12.2025</t>
  </si>
  <si>
    <t>ВЫПИСКА ИЗ ПРОТОКОЛА КЗ 7 ОТ 24-05-2024_В3</t>
  </si>
  <si>
    <t>Аванс 20%  от цены договора в течение 10 к.д. с момента заключения договора и предоставления счета на оплату</t>
  </si>
  <si>
    <t>ВЫПИСКА ЦЗК 51-СИБЭМ ОТ 12.07.2024 (Закупка №7487-2022-ИП-СибЭМ).)ДС4</t>
  </si>
  <si>
    <t>stroy-master.dv@mail.ru</t>
  </si>
  <si>
    <t>Претензионная работа</t>
  </si>
  <si>
    <t>Пеня (отказной ответ от 22.01.2024 № 11, отказной ответ от 03.05.2024 № 72)</t>
  </si>
  <si>
    <t>К работам еще не приступали</t>
  </si>
  <si>
    <t>Работа ведется</t>
  </si>
  <si>
    <t>К работам еще не приступили</t>
  </si>
  <si>
    <t>ДС №1 к СИБЭРСИБЭМ-22/2258</t>
  </si>
  <si>
    <t>ДС № 2 к СИБЭРСИБЭМ-22/2258</t>
  </si>
  <si>
    <t>ДС № 1 к СИБЭРСИБЭМ-22/5729</t>
  </si>
  <si>
    <t>ДС № 2 к СИБЭРСИБЭМ-22/5729</t>
  </si>
  <si>
    <t>ДС № 4 к СИБЭРСИБЭМ-22/5729</t>
  </si>
  <si>
    <t>ДС № 3 к СИБЭРСИБЭМ-22/5729</t>
  </si>
  <si>
    <t>ДС № 1 к СИБЭРСИБЭМ-23/2510</t>
  </si>
  <si>
    <t>ДС № 3 к СИБЭРСИБЭМ-23/2510</t>
  </si>
  <si>
    <t>ДС № 2 к СИБЭРСИБЭМ-23/2510</t>
  </si>
  <si>
    <t>с момента заключения договора по 15.10.2024 г.</t>
  </si>
  <si>
    <t>ВЫПИСКА ИЗ ПРОТОКОЛА ЦЗК №56 от 01.08.2024</t>
  </si>
  <si>
    <t>ДС № 4 СИБЭРСИБЭМ-23/2363</t>
  </si>
  <si>
    <t>ИП Кудряшов Н. Г.</t>
  </si>
  <si>
    <t>Индивидуальный предприниматель Кудряшов Николай Геннадьевич</t>
  </si>
  <si>
    <t>253814125700</t>
  </si>
  <si>
    <t>Простая закупка</t>
  </si>
  <si>
    <t>86465XCDENMW2Q0QQ0QW8R от 10.08.2022</t>
  </si>
  <si>
    <t>10.08.2022-01.02.2023</t>
  </si>
  <si>
    <t>2722052259-24-Г1 от 11.04.2024</t>
  </si>
  <si>
    <t>11.04.2024-15.07.2024</t>
  </si>
  <si>
    <t xml:space="preserve">ДС №4 к СИБЭРСИБЭМ-23/2510 </t>
  </si>
  <si>
    <t xml:space="preserve"> 05.08.2024</t>
  </si>
  <si>
    <t>с 06.02.2024</t>
  </si>
  <si>
    <t xml:space="preserve"> по 01.03.2024</t>
  </si>
  <si>
    <t>ВЫПИСКА ЦЗК 56-СИБЭМ ОТ 30.07.2024_7036.</t>
  </si>
  <si>
    <t>daniyarova_fa@energoresurs.uz</t>
  </si>
  <si>
    <t xml:space="preserve"> Ермолаев Владимир Владимирович</t>
  </si>
  <si>
    <t>Котов С.И.</t>
  </si>
  <si>
    <t>info@decor-pfp.com</t>
  </si>
  <si>
    <t>ДС №5 СИБЭРСИБЭМ-23/2510</t>
  </si>
  <si>
    <t xml:space="preserve"> 05.09.2024</t>
  </si>
  <si>
    <t>продление сроков выполнения работ</t>
  </si>
  <si>
    <t>до 31.10.2024</t>
  </si>
  <si>
    <t>ВЫПИСКА ЦЗК 66-СИБЭМ ОТ 30.08.2024 Г (7036)</t>
  </si>
  <si>
    <t xml:space="preserve"> 06.09.2024</t>
  </si>
  <si>
    <t>СИБЭРСИБЭМ-24/3395</t>
  </si>
  <si>
    <t>ООО "ЗГРАДА Монолит"</t>
  </si>
  <si>
    <t>Общество с ограниченной ответственностью "ЗГРАДА Монолит"</t>
  </si>
  <si>
    <t>СИБЭРСИБЭМ-24/4158</t>
  </si>
  <si>
    <t>выполнение комплекса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5 Приморской ГРЭС</t>
  </si>
  <si>
    <t xml:space="preserve">Аванс в размере 2 500 000 руб. выплачивается в течение 5 (пяти) рабочих дней с момента заключения  Договора.
</t>
  </si>
  <si>
    <t>с момента заключения договора по 29.11.2024</t>
  </si>
  <si>
    <t>Выписка ЦЗК 67-СибЭМ от 04.09.2024_В24 (закупка 6889-24)</t>
  </si>
  <si>
    <t>0QIY2X от 05.09.2024</t>
  </si>
  <si>
    <t>05.09.2024-01.01.2026</t>
  </si>
  <si>
    <t>Общество с ограниченной ответственностью "СвязьСтройСервис-44"</t>
  </si>
  <si>
    <t>ООО "СвязьСтройСервис-44"</t>
  </si>
  <si>
    <t xml:space="preserve"> СИБЭРСИБЭМ-24/4117</t>
  </si>
  <si>
    <t xml:space="preserve"> Выполнение комплекса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5 Приморской ГРЭС (ч/час)</t>
  </si>
  <si>
    <t xml:space="preserve">ВЫПИСКА ЦЗК 66-СИБЭМ ОТ 30.08.2024_В35 (ЗАКУПКА 6846-24) </t>
  </si>
  <si>
    <t>info@emtstroy.ru</t>
  </si>
  <si>
    <t>бл. 8</t>
  </si>
  <si>
    <t>Выполнение работ по установке и пуско-наладке системы пожарной сигнализации в здании общежития на 200 мест стройгородка Приморской ГРЭС, включая разработку рабочей документации и поставку оборудования и материалов.</t>
  </si>
  <si>
    <t xml:space="preserve">Аванс в размере 30% - 1 080 808,55 руб. выплачивается в течение 15 (пятнадцати) рабочих дней с момента предоставления счета
</t>
  </si>
  <si>
    <t>с момента заключения договора, 30 р.д. разработка документации,  завершение по монтажу и пуско-наладке 45 к.д. с момента согласования РД</t>
  </si>
  <si>
    <t>Выписка ЗК №52-СибЭМ от 15.08.2024</t>
  </si>
  <si>
    <t>Збараг  Р.И.</t>
  </si>
  <si>
    <t>СИБЭРСИБЭМ-24/3911</t>
  </si>
  <si>
    <t xml:space="preserve">Общество с ограниченной ответственностью «Научно-производственное объединение «Агростройсервис» </t>
  </si>
  <si>
    <t>ООО «НПО «Агростройсервис»</t>
  </si>
  <si>
    <t xml:space="preserve">Выполнение комплекса работ по разработке рабочей документации, поставке, шеф-монтажу, шеф-наладке и пуско-наладке оборудования для модернизации комплекса очистных сооружений стройгородка Приморской ГРЭС </t>
  </si>
  <si>
    <t>Выписка ЦЗК №75 от 12.09.2024</t>
  </si>
  <si>
    <t>250 к.д. с момента подписания договора</t>
  </si>
  <si>
    <t>Первый аванс  20% в течение 10 (десяти) б.д. после
подписания договора  и предоставления оригинала БГ, второй аванс  20% в течение 10 б.д. по факту потсавки оборудования</t>
  </si>
  <si>
    <t>Малькова В.П./Савуляк А.Н. с 08.10.2024</t>
  </si>
  <si>
    <t>ООО "ФИК"</t>
  </si>
  <si>
    <t>infofec@yandex.ru</t>
  </si>
  <si>
    <t xml:space="preserve"> Общество с ограниченной ответственностью "Кип-Электромонтаж"</t>
  </si>
  <si>
    <t>ООО "Кип-Электромонтаж"</t>
  </si>
  <si>
    <t>СИБЭРСИБЭМ-24/4116</t>
  </si>
  <si>
    <t xml:space="preserve"> 09.09.2024</t>
  </si>
  <si>
    <t>Аванс в размере 2 990 000 руб. с ндс в течение 5 к.д. с момента подписания договора</t>
  </si>
  <si>
    <t>по 29.11.2024</t>
  </si>
  <si>
    <t>ВЫПИСКА ИЗ ПРОТОКОЛА ЦЗК 66 ОТ 30.08.24.          ВЫПИСКА ЦЗК 73-СИБЭМ ОТ 25.09.2024_6847</t>
  </si>
  <si>
    <t xml:space="preserve"> СИБЭРСИБЭМ-24/4073</t>
  </si>
  <si>
    <t xml:space="preserve"> выполнение комплекса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5 Приморской ГРЭС</t>
  </si>
  <si>
    <t>ВЫПИСКА ИЗ ПРОТОКОЛА ЦЗК 67 ОТ 04.09.24</t>
  </si>
  <si>
    <t>ooo-esm19@mail.ru</t>
  </si>
  <si>
    <t>Общество с ограниченной ответственнностью "ЗГРАДА Монолит"</t>
  </si>
  <si>
    <t>по 31.01.2025</t>
  </si>
  <si>
    <t>СИБЭРСИБЭМ-24/4590</t>
  </si>
  <si>
    <t>выполнение комплекса работ по антикоррозионной защите и тепловой изоляции системы регенерации энергоблока № 7 Приморской ГРЭС</t>
  </si>
  <si>
    <t>бл. 7</t>
  </si>
  <si>
    <t>ВЫПИСКА ЗК 81 ОТ 01.10.24_6859</t>
  </si>
  <si>
    <t>Общесто с ограниченной ответственностью «ЭнергоМонтажТехнологии»</t>
  </si>
  <si>
    <t>Общество с ограниченной ответственностью "Кип-Электромонтаж"</t>
  </si>
  <si>
    <t>OOO "Кип-Электромонтаж"</t>
  </si>
  <si>
    <t>СИБЭРСИБЭМ-24/4567</t>
  </si>
  <si>
    <t>комплекс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9 Приморской ГРЭС</t>
  </si>
  <si>
    <t>по 31.10.2024</t>
  </si>
  <si>
    <t>ВЫПИСКА ЦЗК 76-СИБЭМ ОТ 04.10.2024 ССС-44</t>
  </si>
  <si>
    <t>СИБЭРСИБЭМ-24/4564</t>
  </si>
  <si>
    <t xml:space="preserve"> Акционерное общество "Красноярское Монтажное Управление "Гидромонтаж"</t>
  </si>
  <si>
    <t>СИБЭРСИБЭМ-24/4418</t>
  </si>
  <si>
    <t>Выполнение комплекса строительно-монтажных работ по монтажу опорных металлоконструкций и монтажу газоходов энергоблока № 5 Приморской ГРЭС</t>
  </si>
  <si>
    <t>ВЫПИСКА ЦЗК 75-СИБЭМ ОТ 02.10.2024_В39_ЗАКУПКА ЕИ_АО КМУ ГИДРОМОНТАЖ</t>
  </si>
  <si>
    <t xml:space="preserve"> ООО "Декор"</t>
  </si>
  <si>
    <t xml:space="preserve"> Общество с ограниченной ответственностью "Декор"</t>
  </si>
  <si>
    <t>СИБЭРСИБЭМ-24/4624</t>
  </si>
  <si>
    <t xml:space="preserve">Общество с ограниченной ответственностью «ФАР ИСТ КОНТРАКШН» </t>
  </si>
  <si>
    <t>выполнение комплекса строительно-монтажных и пуско-наладочных работ по монтажу системы вентиляции и отопления РУСН энергоблоков № 5и № 9 Приморской ГРЭС</t>
  </si>
  <si>
    <t>бл. 5, 9</t>
  </si>
  <si>
    <t>не более 30 календарных дней с момента заключения договора</t>
  </si>
  <si>
    <t>ВЫПИСКА ЦЗК 77-СИБЭМ ОТ 09.10.2024 (ЗАКУПКА № 7483-2024-ИП-СИБЭМ)</t>
  </si>
  <si>
    <t>ООО "Апекс Групп"</t>
  </si>
  <si>
    <t>Общество с ограниченной ответственностью "Апекс Групп"</t>
  </si>
  <si>
    <t>СИБЭРСИБЭМ-24/4717</t>
  </si>
  <si>
    <t xml:space="preserve">Комплекс строительно-монтажных работ по устройству кровельного покрытия главного корпуса 200 МВт в границах котельного и бункерно-деаэраторного отделений </t>
  </si>
  <si>
    <t xml:space="preserve">аванс в размере  30% от стоимости Договора, в течение 10 рабочих дней с момента подписания Договора </t>
  </si>
  <si>
    <t xml:space="preserve"> не более 5 месяцев с момента подписания договора.</t>
  </si>
  <si>
    <t>Выписка ЦЗК 77-СибЭМ от 09.10.2024</t>
  </si>
  <si>
    <t>ООО "КЭМ"</t>
  </si>
  <si>
    <t>Общество с ограниченной ответственностью "Комсомольскэнергомонтаж"</t>
  </si>
  <si>
    <t>СИБЭРСИБЭМ-24/4429</t>
  </si>
  <si>
    <t xml:space="preserve">Подрядчик производит выплату авансового платежа в размере 30 (тридцати) % от цены Договора в течение 7 (семи) рабочих дней с момента заключения настоящего Договора </t>
  </si>
  <si>
    <r>
      <t>60 (шестьдесят) календарных дней с момента заключения договора</t>
    </r>
    <r>
      <rPr>
        <sz val="12"/>
        <color theme="1"/>
        <rFont val="Times New Roman"/>
        <family val="1"/>
        <charset val="204"/>
      </rPr>
      <t>.</t>
    </r>
  </si>
  <si>
    <t>Выписка ЦЗК 76-СибЭМ от 04.10.2024_В23_Закупка ЕИ_ООО КЭМ</t>
  </si>
  <si>
    <t>СИБЭРСИБЭМ-24/5066</t>
  </si>
  <si>
    <t>Выполнение комплекса работ по устройству хозяйственно-питьевого водопровода на эстакаде для стройгородка Приморской ГРЭС</t>
  </si>
  <si>
    <t>Подрядчик оплачивает Субподрядчику аванс в размере 30 % цены Договора, указанной в п.3.2 Договора в течение 15 (пятнадцати) календарных дней с момента предоставления Субподрядчиком счета на оплату.</t>
  </si>
  <si>
    <t>не более 60 календарных дней с даты предоставления Подрядчиком всех материалов и оборудования по акту приема-передачи</t>
  </si>
  <si>
    <t>ВЫПИСКА ЦЗК 82-СИБЭМ ОТ 25.10.2024</t>
  </si>
  <si>
    <t>договор расторгнут</t>
  </si>
  <si>
    <t>до 04.12.2024</t>
  </si>
  <si>
    <t>ыполнение работ по тепловой изоляции и обмуровки оборудования котлоагрегата ст. № 9</t>
  </si>
  <si>
    <t>Инициация продления сроков работ</t>
  </si>
  <si>
    <t>бл.9</t>
  </si>
  <si>
    <t>до 30.11.2024</t>
  </si>
  <si>
    <t>ДС №6 СИБЭРСИБЭМ-23/2510</t>
  </si>
  <si>
    <t>Выписка ЦЗК 87-СибЭМ от 13.11.2024_7036</t>
  </si>
  <si>
    <t>Alkadpto@yandex.ru</t>
  </si>
  <si>
    <t xml:space="preserve"> Общество с ограниченной ответственностью "Энергостроймонтаж"</t>
  </si>
  <si>
    <t xml:space="preserve"> ООО "ЭСМ"</t>
  </si>
  <si>
    <t>СИБЭРСИБЭМ-24/4823</t>
  </si>
  <si>
    <t xml:space="preserve"> выполнить комплекс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9 Приморской ГРЭС</t>
  </si>
  <si>
    <t>не более 80 к.д. с момента заключения договора</t>
  </si>
  <si>
    <t>ВЫПИСКА ЦЗК 83 ОТ 30.10.2024 (7686-2024-ИП-СИБЭМ)</t>
  </si>
  <si>
    <t>СЗ</t>
  </si>
  <si>
    <t>КС-3 от 13.06.2024 г. на сумму  4004562,00</t>
  </si>
  <si>
    <t>с 11.09.2024 по 31.01.2025</t>
  </si>
  <si>
    <t>Выписка ЦЗК 92-СибЭМ от 29.11.2024_В42 (ДС 1 6889-24)</t>
  </si>
  <si>
    <t>КС-3 от 11.11.2024 г. на сумму 5 237 592,60</t>
  </si>
  <si>
    <t>№ 5</t>
  </si>
  <si>
    <t>бл. 2</t>
  </si>
  <si>
    <t>бл. 3</t>
  </si>
  <si>
    <t>бл. 6</t>
  </si>
  <si>
    <t>увеличение стоимости договора, дополнительное авансирование</t>
  </si>
  <si>
    <t>2024-12-05 ВЫПИСКА ИЗ ПРОТОКОЛА КЗ  ЗАОЧН_В2</t>
  </si>
  <si>
    <t>до 31.05.2025</t>
  </si>
  <si>
    <t>СИБЭРСИБЭМ-24/6217</t>
  </si>
  <si>
    <t xml:space="preserve"> 25.12.2024</t>
  </si>
  <si>
    <t xml:space="preserve"> Выполнение комплекса строительно-монтажных работ по устройству трубопроводов ГЗУ</t>
  </si>
  <si>
    <t xml:space="preserve"> по 31.01.2025</t>
  </si>
  <si>
    <t>ВЫПИСКА ЦЗК 98-СИБЭМ ОТ 20.12.2024 (8363)</t>
  </si>
  <si>
    <t>СИБЭРСИБЭМ-25/147</t>
  </si>
  <si>
    <t>Выполнение комплекса строительно-монтажных работ по монтажу дымососов энергоблока № 6 Приморской ГРЭС</t>
  </si>
  <si>
    <t>бл.6</t>
  </si>
  <si>
    <t>ВЫПИСКА ЦЗК 1-СИБЭМ ОТ 10.01.2024</t>
  </si>
  <si>
    <t>20% в течение 5 р.д. с момента предоставления БГ</t>
  </si>
  <si>
    <t>не более 45 календарных дней с момента передачи строительной площадки</t>
  </si>
  <si>
    <t xml:space="preserve">ДС №1  СИБЭРСИБЭМ-24/4073 </t>
  </si>
  <si>
    <t xml:space="preserve"> продление сроков по 31.12.2024, включение системы поощрения по результатам мониторинга физического труда SOLUT</t>
  </si>
  <si>
    <t xml:space="preserve"> с 11.09.2024 по 31.12.2024</t>
  </si>
  <si>
    <t>ВЫПИСКА ЦЗК 89-СИБЭМ ОТ 20.11.24_В 32_ДС 1 К ДОГ. 24-4073 С ЭСМ (6917-2024-ИП-СИБЭМ)</t>
  </si>
  <si>
    <t>Продление срока, включение системы поощрения по результатам мониторинга физического труда SOLUT</t>
  </si>
  <si>
    <t>по 30.12.2024</t>
  </si>
  <si>
    <t>Выписка ЦЗК 97 от 18.12.2024 (Закупка №6847-2024-ИП-СибЭМ)</t>
  </si>
  <si>
    <t>В.В. Ермолаев</t>
  </si>
  <si>
    <t xml:space="preserve"> ООО "СтройМастер"</t>
  </si>
  <si>
    <t>СИБЭРСИБЭМ-25/154</t>
  </si>
  <si>
    <t xml:space="preserve"> 16.01.2025</t>
  </si>
  <si>
    <t>Выполнение комплекса работ по монтажу очистной установки «Дамба», КНС очищенных стоков и напорной дождевой канализации с переносом ограждения стройгородка</t>
  </si>
  <si>
    <t>30% в течение 15 календарных дней с момента высталения счета, без БГ</t>
  </si>
  <si>
    <t>не более 90 календарных дней с момента заключения договора</t>
  </si>
  <si>
    <t>ВЫПИСКА ЦЗК 100-СИБЭМ ОТ 27.12.2024_7275</t>
  </si>
  <si>
    <t xml:space="preserve">СИБЭРСИБЭМ-25/158 </t>
  </si>
  <si>
    <t>Выполнение комплекса строительно-монтажных работ по модернизации поверхностей нагрева котолоагрегата энергоблока № 6  Приморской ГРЭС</t>
  </si>
  <si>
    <t>10% в течение 5 рабочих дней с момента предоставления БГ</t>
  </si>
  <si>
    <t>с 01.03.2025 по 01.11.2025</t>
  </si>
  <si>
    <t>Выписка из Протокола КЗ 20 от 27.12.2024_В3</t>
  </si>
  <si>
    <t>Котов С.И</t>
  </si>
  <si>
    <t>Соглашение об уступке прав требований №089У</t>
  </si>
  <si>
    <t>уступка права требования</t>
  </si>
  <si>
    <t>sss44@list.ru</t>
  </si>
  <si>
    <t>ДС №1 к СИБЭРСИБЭМ-24/4158</t>
  </si>
  <si>
    <t>ДС №2 к СИБЭРСИБЭМ-24/4158</t>
  </si>
  <si>
    <t>ДС № 1 к СИБЭРСИБЭМ-24/4116</t>
  </si>
  <si>
    <t xml:space="preserve">ДС №1  СИБЭРСИБЭМ-24/4429 </t>
  </si>
  <si>
    <t xml:space="preserve"> Включение пункта о возможности выкупа материалов, продление сроков по 10.02.2025</t>
  </si>
  <si>
    <t>по 10.02.2025</t>
  </si>
  <si>
    <t>ВЫПИСКА ЦЗК 1-СИБЭМ ОТ 10.01.2025_(7411)</t>
  </si>
  <si>
    <t>revina@ooo-kem.ru</t>
  </si>
  <si>
    <t>kem.oookem@yandex.com</t>
  </si>
  <si>
    <t>СИБЭРСИБЭМ-24/5702</t>
  </si>
  <si>
    <t>Выполнение комплекса строительно-монтажных работ по модернизации турбоагрегата ст. № 6 энергоблока № 6 Приморской ГРЭС</t>
  </si>
  <si>
    <t>ДС № 1 к СИБЭРСИБЭМ-25/147</t>
  </si>
  <si>
    <t>Изменение размера авансового платежа (40%)</t>
  </si>
  <si>
    <t>ЦЗК №19 от 14.03.2025</t>
  </si>
  <si>
    <t>alkadpto@yandex.ru</t>
  </si>
  <si>
    <t>40% в течение 5 р.д. с момента предоставления БГ</t>
  </si>
  <si>
    <t>СИБЭРСИБЭМ-25/626</t>
  </si>
  <si>
    <t>Выполнение комплекса работ по демонтажу обмуровки и изоляции котельного агрегата  ст. № 10 энергоблока № 6</t>
  </si>
  <si>
    <t>Выписка ЗК 10-СибЭМ от 06.02.25_1682</t>
  </si>
  <si>
    <t>выполнение комплекса работ по антикоррозионной защите и тепловой изоляции электрофильтра и внутренних газоходов энергоблока № 6 Приморской ГРЭС</t>
  </si>
  <si>
    <t>Аванс в размере 3000000,00 рубв течение 10 к.д. с момента предоставления счета</t>
  </si>
  <si>
    <t>не более 45 к.д. с момента подписания договора</t>
  </si>
  <si>
    <t>Выписка ЦЗК 15-СибЭМ от 28.02.2025_1545</t>
  </si>
  <si>
    <t>ВЫПИСКА ЦЗК 11-СИБЭМ ОТ 14.02.2025 (5165)</t>
  </si>
  <si>
    <t>с момента направления уведомления на электронный адрес Подрядчика, указанный в ст. 25 за 10 календарных дней до обеспечения строительной готовности. 4.2.1. Сроки окончания демонтажных работ: не более 15 календарных дней с момента начала выполнения работ, но не менее 25 календарных дней с момента направления уведомления на электронный адрес Подрядчика</t>
  </si>
  <si>
    <t>Соглашение № 1  об уступке прав требования по Договору СИБЭРСИБЭМ-24/5702</t>
  </si>
  <si>
    <t>Соглашение № 1 об уступке права требования по договору № СИБЭРСИБЭМ-24/5702 от 14.02.2025 г.</t>
  </si>
  <si>
    <t>Ермолаев В.В</t>
  </si>
  <si>
    <t>ДС №1 к СИБЭРСИБЭМ-24/6217</t>
  </si>
  <si>
    <t>Дополнительный объем работ, распространение срока действия договора на 01.11.2024</t>
  </si>
  <si>
    <t>с 01.11.2024 по 30.11.2024</t>
  </si>
  <si>
    <t>СИБЭРСИБЭМ-25/1402</t>
  </si>
  <si>
    <t>на выполнение электромонтажных работ по модернизации электрооборудования, раскладке силовых и контрольных кабелей, замене КИПиА и сопровождение пусконаладочных работ на энергоблоке № 6 Приморской ГРЭС</t>
  </si>
  <si>
    <t>аванс в размере 5 000 000 руб.  в течение 10 (десяти) рабочих дней с даты, следующей за датой предоставления Субподрядчиком счета на оплату</t>
  </si>
  <si>
    <t>Выписка ЦЗК 18-СибЭМ от 12.03.2025_В42</t>
  </si>
  <si>
    <t>ДС № 2 к СИБЭРСИБЭМ-24/4116</t>
  </si>
  <si>
    <t>корректировка объемов согласно фактическому выполнению</t>
  </si>
  <si>
    <t>по 26.03.2025</t>
  </si>
  <si>
    <t>Выписка ЦЗК 19-СибЭМ от 14.03.25_6847</t>
  </si>
  <si>
    <t>ДС №1 к СИБЭРСИБЭМ-24/4567</t>
  </si>
  <si>
    <t>Корректировка объемов согласно фактическому выполнению</t>
  </si>
  <si>
    <t>Выписка ЦЗК 19-СибЭМ от 14.03.25_7410</t>
  </si>
  <si>
    <t>продлени срока выполнения работ</t>
  </si>
  <si>
    <t xml:space="preserve"> по 01.07.2025</t>
  </si>
  <si>
    <t>Выписка ЦЗК 22-СибЭМ от 26.03.25 (7483)</t>
  </si>
  <si>
    <t xml:space="preserve">АО "КМУ "ГИДРОМОНТАЖ" </t>
  </si>
  <si>
    <t>Акционерное общество «Красноярское монтажное управление «ГИДРОМОНТАЖ»</t>
  </si>
  <si>
    <t>СИБЭРСИБЭМ-25/580</t>
  </si>
  <si>
    <t>Выполнение комплекса строительно-монтажных работ по монтажу электрофильтра энергоблока № 6 Приморской ГРЭС</t>
  </si>
  <si>
    <t>аванс в размере 20% от Цены Договора, указанной в 5.1 Договора в течение 5 (пяти) рабочих дней с момента предоставления Субподрядчиком оригинала БГ</t>
  </si>
  <si>
    <t>с 17.03.2025 по 03.08.2025</t>
  </si>
  <si>
    <t>Выписка из Протокола КЗ 2 от 03.02.2025 заочн_В2</t>
  </si>
  <si>
    <t>pravo_gidrom@mail.ru</t>
  </si>
  <si>
    <t>ДС № 1 к СИБЭРСИБЭМ-24/4823</t>
  </si>
  <si>
    <t>Продление сроков выполнения работ по 10.05.2025</t>
  </si>
  <si>
    <t>с 05.11.2024 по 10.05.2025</t>
  </si>
  <si>
    <t>Выписка ЦЗК 18-СибЭМ от 12.03.25 (7686)</t>
  </si>
  <si>
    <t>СИБЭРСИБЭМ-25/1772</t>
  </si>
  <si>
    <t>Выполнение комплекса работ по монтажу строительных лесов и металлоконструкций под крепления покрывного слоя тепловой изоляции на дымовой трубе № 2 Приморской ГРЭС с газоходами от дымососа до дымовой трубы</t>
  </si>
  <si>
    <t>Выписка ЦЗК 19 от 14.03.2025 (3125-2025)</t>
  </si>
  <si>
    <t>Уведомление об отказе от Договора</t>
  </si>
  <si>
    <t xml:space="preserve">Уведомление об отказе от Договора </t>
  </si>
  <si>
    <t>СИБЭРСИБЭМ-25/1784</t>
  </si>
  <si>
    <t>Выполнение работ по нанесению антикоррозийной защиты и тепловой изоляции газоходов от котла до дымовой трубы энергоблока №6</t>
  </si>
  <si>
    <t>с 23.04.2025 по 23.06.2025</t>
  </si>
  <si>
    <t>ВЫПИСКА ЗК 28 СИБЭМ ОТ 27.03.2025 (2695)</t>
  </si>
  <si>
    <t>vostoknhi@mail.ru</t>
  </si>
  <si>
    <t>Общество с ограниченной ответственностью  "Энергосила"</t>
  </si>
  <si>
    <t>СИБЭРСИБЭМ-25/1783</t>
  </si>
  <si>
    <t>Выполнение комплекса строительно-монтажных работ по монтажу потолочного пароперегревателя над топкой котельного агрегата энергоблока ст. № 5 Приморской ГРЭС</t>
  </si>
  <si>
    <t>с 10.05.2024 по 18.12.2024</t>
  </si>
  <si>
    <t>Выписка ЦЗК 27-СибЭМ от 11.04.25г</t>
  </si>
  <si>
    <t xml:space="preserve">СИБЭРСИБЭМ-25/2026 </t>
  </si>
  <si>
    <t>Выполнение комплекса строительно-монтажных работ по демонтажу газоходов от дымососов до дымовой трубы энергоблока №3 Приморской ГРЭС»</t>
  </si>
  <si>
    <t>с 18.04.2025 по 19.05.2025</t>
  </si>
  <si>
    <t>Выписка ЦЗК 24-СибЭМ от 02.04.25 (3238)</t>
  </si>
  <si>
    <t>СИБЭРСИБЭМ-25/1701</t>
  </si>
  <si>
    <t xml:space="preserve">Выполнение комплекса работ по демонтажу обмуровки и изоляции котельного агрегата ст. № 3 энергоблока № 3 Приморской ГРЭС в местах замены поверхностей нагрева </t>
  </si>
  <si>
    <t xml:space="preserve"> с момента передачи строительной площадки по акту приема-передачи; 
Завершение  – не более 30 календарных дней с момента получения строительной готовности по акту приема-передачи.
</t>
  </si>
  <si>
    <t>Выписка ЦЗК №24 от 18.03.2025</t>
  </si>
  <si>
    <t>Королев Е.А.</t>
  </si>
  <si>
    <t>Соглашение № 2  об уступке прав требования по Договору СИБЭРСИБЭМ-24/5702</t>
  </si>
  <si>
    <t>Соглашение № 2 об уступке права требования по договору № СИБЭРСИБЭМ-24/5702 от 14.02.2025 г.</t>
  </si>
  <si>
    <t>Общество с ограниченной ответственностью "Спецстрой Дв"</t>
  </si>
  <si>
    <t>ООО "Спецстрой Дв"</t>
  </si>
  <si>
    <t xml:space="preserve"> СИБЭРСИБЭМ-25/1496</t>
  </si>
  <si>
    <t xml:space="preserve"> 24.03.2025</t>
  </si>
  <si>
    <t>Выполнение комплекса работ по устройству разведочных скважин для обеспечения холодным водоснабжением для хозяйственных нужд и формирования аварийного запаса воды на площадке Приморской ГРЭС</t>
  </si>
  <si>
    <t>Выписка ЦЗК 18-СибЭМ от 12.03.25</t>
  </si>
  <si>
    <t>ДС №1  СИБЭРСИБЭМ-24/5066</t>
  </si>
  <si>
    <t xml:space="preserve"> 14.04.2025</t>
  </si>
  <si>
    <t>Продление сроков выполнения работ по 30.08.2025</t>
  </si>
  <si>
    <t>по 30.08.2025</t>
  </si>
  <si>
    <t>ВЫПИСКА ЦЗК 25-СИБЭМ ОТ 04.04.25 _7214.</t>
  </si>
  <si>
    <t>СИБЭРСИБЭМ-25/2180</t>
  </si>
  <si>
    <t>выполнение комплекса строительно-монтажных работ по обвязке горелочных устройств котельного агрегата энергоблока ст. № 5 ПриморскойГРЭС</t>
  </si>
  <si>
    <t>до 30.01.2025</t>
  </si>
  <si>
    <t>Выписка ЦЗК 28-СибЭМ от 16.04.25</t>
  </si>
  <si>
    <t>Увеличение стоимости договора, продление срока</t>
  </si>
  <si>
    <t xml:space="preserve">Завершение работ на энергоблоках № 1; № 3 - 31.12.2025 г.
Завершение работ энергоблоках № 2; № 4 - 31.12.2025 г.
</t>
  </si>
  <si>
    <t xml:space="preserve">Савуляк А.Н.  </t>
  </si>
  <si>
    <t xml:space="preserve">ДС №1  СИБЭРСИБЭМ-24/4117 </t>
  </si>
  <si>
    <t>Корректировка стоимости договора согласно фактическому выполнению 8 886 185,62</t>
  </si>
  <si>
    <t xml:space="preserve"> по 30.04.2025</t>
  </si>
  <si>
    <t>ВЫПИСКА ЦЗК 21-СИБЭМ ОТ 21.03.25 (6846)</t>
  </si>
  <si>
    <t>увеличения стоимости договора, продление срока</t>
  </si>
  <si>
    <t>Завершение строительно-монтажных Работ на энергоблоках № 8, № 9 не позднее 30.11.2025 г.           . Завершение строительно-монтажных Работ на энергоблоках № 5, № 6, № 7 не позднее 31.10.2025 г.</t>
  </si>
  <si>
    <t>Выписка из Протокола КЗ 3 от 20.03.2025_В4</t>
  </si>
  <si>
    <t xml:space="preserve"> Соглашение № 3 об уступке права требования по договору № СИБЭРСИБЭМ-24/5702 от 14.02.2025 г.</t>
  </si>
  <si>
    <t xml:space="preserve"> 07.05.2025</t>
  </si>
  <si>
    <t>Соглашение № 3 об уступке права требования по договору № СИБЭРСИБЭМ-24/5702 от 14.02.2025 г.</t>
  </si>
  <si>
    <t>Панов С.А.</t>
  </si>
  <si>
    <t>Тюленев А.В./Панов С.А. с 13.05.2025</t>
  </si>
  <si>
    <t>СИБЭРСИБЭМ-25/2550</t>
  </si>
  <si>
    <t>СИБЭРСИБЭМ-25/2552</t>
  </si>
  <si>
    <t>Выполнение комплекса строительно-монтажных работ по монтажу основного и вспомогательного оборудования вагоноопрокидывателя ВРС-125»</t>
  </si>
  <si>
    <t>Выполнение комплекса строительно-монтажных работ по технологическому оборудованию дробильного корпуса топливоподачи 1, 2 вводов Приморской ГРЭС»</t>
  </si>
  <si>
    <t>аванс в размере 1 120 865,10 руб. в течение 5 рабочих дней с момента предоставления Субподрядчиком счета на предоплату</t>
  </si>
  <si>
    <t>аванс в размере 5 876 573,50 руб в течение 5 (пяти) рабочих дней с момента предоставления Субподрядчиком счета на предоплату</t>
  </si>
  <si>
    <t xml:space="preserve">Замена молотковой дробилки МД 2А1 до 30.05.2025 г.,
- Замена молотковой дробилки МД 2А2 до 30.11.2025 г.,
- Замена молотковой дробилки МД 2Б1 до 30.07.2025 г.,
- Замена молотковой дробилки МД 2Б2 до 30.09.2025 г.,
- Замена молотковой дробилки МД 1А1 до 30.11.2025 г.,
- Замена молотковой дробилки МД 1А2 до 30.07.2025 г.
</t>
  </si>
  <si>
    <t>Выписка ЦЗК_8538 МД 1,2 ввод ПГРЭС</t>
  </si>
  <si>
    <t>Выписка ЦЗК 29-СибЭМ от 18.04.2025_В37</t>
  </si>
  <si>
    <t>с момента обеспечения строительной готовности до 27.10.2025г</t>
  </si>
  <si>
    <t>Гостев Е.В.</t>
  </si>
  <si>
    <t>Тюленев А.В./ Панов С.А.с 13.05.2025</t>
  </si>
  <si>
    <t>Панов С.А. с 13.05.2025</t>
  </si>
  <si>
    <t>Тюленев А.В../Панов С.А. с 13.05.2025</t>
  </si>
  <si>
    <t xml:space="preserve"> СИБЭРСИБЭМ-25/2437</t>
  </si>
  <si>
    <t xml:space="preserve"> 29.05.2025</t>
  </si>
  <si>
    <t xml:space="preserve"> Выполнение комплекса строительно-монтажных работ по устройству конвейерного оборудования и узлов пересыпки топливоподачи первого и второго ввода Приморской ГРЭС ПОДПИСАНИ УКЭП</t>
  </si>
  <si>
    <t>аванс в размере 944 277,13 руб в течение 5 (пяти) рабочих дней с момента предоставления Субподрядчиком счета на предоплату</t>
  </si>
  <si>
    <t>конвейера ЛК-13А - 30.08.2025           конвейера ЛК-14А - 30.08.2025         конвейера ЛК-28 - 30.09.2025</t>
  </si>
  <si>
    <t>ВЫПИСКА ЗК 38 СИБЭМ ОТ 24.04.2025 (3038)</t>
  </si>
  <si>
    <t>Тюленев А.В./ Панов С.А. с 13.05. 2025</t>
  </si>
  <si>
    <t>Королев Ю.В./ Панов С.А. с 13.05. 2025</t>
  </si>
  <si>
    <t>Карлов В.Ю./ Панов С.А. с 13.05. 2025</t>
  </si>
  <si>
    <t>Янов С.Р./ Панов С.А. с 13.05. 2025</t>
  </si>
  <si>
    <t>ДС № 2 к СИБЭРСИБЭМ-24/4823</t>
  </si>
  <si>
    <t>Продление сроков выполнения работ по 01.07.2025</t>
  </si>
  <si>
    <t>с 14.03.2025 по 01.07.2025</t>
  </si>
  <si>
    <t>Выписка ЦЗК 35-СибЭМ от 16.05.2025 г (7686)</t>
  </si>
  <si>
    <t xml:space="preserve">2723161148
</t>
  </si>
  <si>
    <t>СИБЭРСИБЭМ-25/2694</t>
  </si>
  <si>
    <t xml:space="preserve"> Выполнение комплекса смр по реконструкции противопожарных водопроводов блоков №5,7,8. ПОДПИСАНИЕ УКЭП</t>
  </si>
  <si>
    <t>по 27.02.2026</t>
  </si>
  <si>
    <t>ВЫПИСКА ЗК 38 СИБЭМ ОТ 24.04.2025</t>
  </si>
  <si>
    <t>Соглашение о расторжении Договора № СИБЭРСИБЭМ-24/4590</t>
  </si>
  <si>
    <t>Соглашение о расторжении</t>
  </si>
  <si>
    <t>Ван-Ме-Лян С.В./Важенин Е.С.</t>
  </si>
  <si>
    <t>Соглашение о расторжении Договора № СИБЭРСИБЭМ-24/2237</t>
  </si>
  <si>
    <t>бл. № 7</t>
  </si>
  <si>
    <t>Ван-Ме-Лян С.В./ Важенин Е.С.</t>
  </si>
  <si>
    <t xml:space="preserve">ДС №1  СИБЭРСИБЭМ-24/4418 </t>
  </si>
  <si>
    <t xml:space="preserve"> 07.04.2025</t>
  </si>
  <si>
    <t>Корректировка ТЗ в части исключения объемов, уменьшение стоимости договора</t>
  </si>
  <si>
    <t>ВЫПИСКА ЦЗК 21-СИБЭМ ОТ 21.03.2025_7363</t>
  </si>
  <si>
    <t xml:space="preserve"> Соглашение №4 об уступке</t>
  </si>
  <si>
    <t>Соглашение №4 об уступке по договору № СИБЭРСИБЭМ-24/5702 от 14.02.2025 г.</t>
  </si>
  <si>
    <t>СИБЭРСИБЭМ-25/2881</t>
  </si>
  <si>
    <t>Выполнение комплекса строительно-монтажных работ по устройству помещения ПТК энергоблока № 6 Приморской ГРЭС</t>
  </si>
  <si>
    <t>Выписка ЦЗК 34-СибЭМ от 14.05.25_4242</t>
  </si>
  <si>
    <t>аванс 1 528 082,01 в течение 5 р.д. с момента получения счета без  БГ</t>
  </si>
  <si>
    <t>ДС № 1 к СИБЭРСИБЭМ-24/4252</t>
  </si>
  <si>
    <t>Продление сроков выполнения работ до 26.08.2025</t>
  </si>
  <si>
    <t>с 25.09.2024 до 26.08.2025</t>
  </si>
  <si>
    <t>Выписка ЗК 48-СибЭм от 29.05.25_5769</t>
  </si>
  <si>
    <t>СИБЭРСИБЭМ-25/2599</t>
  </si>
  <si>
    <t>Выполнение комплекса строительно-монтажных работ по нанесению антикоррозийной защиты, тепловой изоляции и обмуровки оборудования в границах энергоблока ст. № 6 и котлоагрегата ст. № 3А, 3Б (ремонтная программа)</t>
  </si>
  <si>
    <t>с 18.06.2025 по 30.09.2025</t>
  </si>
  <si>
    <t>Выписка ЦЗК №33 от 07.05.2025 (3969)</t>
  </si>
  <si>
    <t xml:space="preserve">ДС №1  СИБЭРСИБЭМ-25/1496 </t>
  </si>
  <si>
    <t xml:space="preserve"> 21.05.2025</t>
  </si>
  <si>
    <t xml:space="preserve"> по 30.06.2025</t>
  </si>
  <si>
    <t>suetinv@mail.ru</t>
  </si>
  <si>
    <t>Общество с ограниченной ответственностью «СибЭнергоСтрой»</t>
  </si>
  <si>
    <t>ООО "СЭС"</t>
  </si>
  <si>
    <t>СИБЭРСИБЭМ-25/3562</t>
  </si>
  <si>
    <t>Выполнение комплекса строительно-монтажных работ по монтажу обмуровки и тепловой изоляции котлоагрегата ст. № 10 энергоблока № 6 Приморской ГРЭС</t>
  </si>
  <si>
    <t>аванс 5 000 000 руб в течение 7 к.д.
календарных дней с момента заключения Договора.</t>
  </si>
  <si>
    <t>60 к.д. с момента обеспечения
строительной готовности</t>
  </si>
  <si>
    <t>Выписка ЦЗК 41-СИБЭМ ОТ 06.06.2025 (ЗАКУПКА 4072-2025-ИП СИБЭМ</t>
  </si>
  <si>
    <t>sibenergostroy116@mail.ru</t>
  </si>
  <si>
    <t>Результат о проделанной работе, согласно выявленных нарушений</t>
  </si>
  <si>
    <t>март</t>
  </si>
  <si>
    <t>апрель</t>
  </si>
  <si>
    <t xml:space="preserve">май </t>
  </si>
  <si>
    <t>июнь</t>
  </si>
  <si>
    <t>июль</t>
  </si>
  <si>
    <t>август</t>
  </si>
  <si>
    <t>декабрь</t>
  </si>
  <si>
    <t>необходимо направить в юридическое управление служебную записку о предъявлении претензии в адрес контрагента с приложением подтверждающих документов</t>
  </si>
  <si>
    <t>6-5/23-4077 от 18.01.2024</t>
  </si>
  <si>
    <t xml:space="preserve"> СЗ от 25.01.2024 №Исх. 6-5/38-67-17/24-0-0. Отправлена на Судакову. Письмо с претензией 12.02.2024 № 6-5/23-13640 Ген. Директору Энергоинжиниринга</t>
  </si>
  <si>
    <t>Необходимо закрыть договор . Работы выполняться не будут. Если необходимо, подготовить СЗ на ДС по уменьшению стоимости договора по фактическому закрытию на данный момент.</t>
  </si>
  <si>
    <t>Общество с ограниченной ответственностью "Укс-Сибирь"</t>
  </si>
  <si>
    <t>ООО "УКС-Сибирь"</t>
  </si>
  <si>
    <t>СИБЭРСИБЭМ-25/3469</t>
  </si>
  <si>
    <t>Выполнение комплекса работ на замену оконных блоков главного корпуса 200 МВт</t>
  </si>
  <si>
    <t>главный корпус</t>
  </si>
  <si>
    <t xml:space="preserve">1. Авансовый платеж в размере 5 000 000,00 руб. (Пять миллионов рублей 00 копеек), в т.ч. НДС 20% 833 333,33 руб. (Восемьсот тридцать три тысячи триста тридцать три рубля 33 копейки), в течение 3 рабочих дней после подписания договора и предоставления оригинала счета на оплату, без предоставления банковской гарантии.
2. Авансовый платеж в размере 30 936 953,06 руб. (Тридцать миллионов девятьсот тридцать шесть тысяч девятьсот пятьдесят три рубля 06 копеек), в т.ч. НДС 20% 5 156 158,85 руб. (Пять миллионов сто пятьдесят шесть тысяч сто пятьдесят восемь рублей 85 копеек), в течение 5 рабочих дней с даты предоставления оригинала банковской гарантии и оригинала счета на оплату.
Банковская гарантия предоставляется Субподрядчиком на сумму 35 936 953,06 руб. (Тридцать пять миллионов девятьсот тридцать шесть тысяч девятьсот пятьдесят три рубля 06 копеек), в т.ч. НДС 20% 5 989 492,18 руб. (Пять миллионов девятьсот восемьдесят девять тысяч четыреста девяносто два рубля 18 копеек), с учетом первого авансового платежа.
3. Авансовый платеж в размере 10 (десять)% от Цены Договора, указанной в 5.1 Договора, в течение 5 рабочих дней с даты предоставления оригинала банковской гарантии на сумму авансового платежа и оригинала счета на оплату. Субподрядчик обязуется предоставить указанную в данном пункте банковскую гарантию не позднее 21.07.2025 года.
</t>
  </si>
  <si>
    <t>133 календарных дня</t>
  </si>
  <si>
    <t>ВЫПИСКА ЦЗК № 44 ОТ 20.06.2025 (ЗАКУПКА № 4247-25)</t>
  </si>
  <si>
    <t>office@uks-sibir.ru</t>
  </si>
  <si>
    <t xml:space="preserve">СОГЛАШЕНИЕ О РАСТОРЖЕНИИ
Договора № СИБЭРСИБЭМ-24/4590 от 16.05.2025, ПРЕТЕНЗИЙ ПО ИСПОЛНЕНИЮ ОБЯЗАТЕЛЬСТВ НЕ ИМЕЕТСЯ У СТОРОН
</t>
  </si>
  <si>
    <t>В мае заключено Соглашение о расторжении.</t>
  </si>
  <si>
    <t>исполнен</t>
  </si>
  <si>
    <t>Претензионная работа не требуется.</t>
  </si>
  <si>
    <t>Работы выполнены и закрыты. Необходимо закрыть договор.</t>
  </si>
  <si>
    <t>Исполнен.</t>
  </si>
  <si>
    <t>Будет подготовлена СЗ на пролонгацию договора для возможности закрытия дополнительных работ в счет суммы основного договора. Претензионная работа не требуется.</t>
  </si>
  <si>
    <t>ДС на продление срока договора на заключении.</t>
  </si>
  <si>
    <t>Работы выполняются. Будет закрытие. Претензионная работа не требуется.</t>
  </si>
  <si>
    <t>Срок выполнения работ до 30.09.2025</t>
  </si>
  <si>
    <t>действующий по 27.02.2026</t>
  </si>
  <si>
    <t>с 27.03.2025 по 29.04.2025</t>
  </si>
  <si>
    <t>с 17.06.2025 по 31.10.2025</t>
  </si>
  <si>
    <r>
      <t xml:space="preserve">срок выполнения работ с момента подписания договора, не более 30 </t>
    </r>
    <r>
      <rPr>
        <u/>
        <sz val="11"/>
        <color rgb="FFFF0000"/>
        <rFont val="Calibri"/>
        <family val="2"/>
        <charset val="204"/>
        <scheme val="minor"/>
      </rPr>
      <t xml:space="preserve">календарных дней на каком этапе принятие работ? </t>
    </r>
  </si>
  <si>
    <t>*в том числе штраф 300 000 в пользу СиБЭР</t>
  </si>
  <si>
    <t>ДС от 04.04.2025 приведено к факту, исполнен</t>
  </si>
  <si>
    <t>ДС от 19.03.2025 приведено к факту, исполнен</t>
  </si>
  <si>
    <t>Расторгнут. Ни одна из Сторон не имеет претензий к другой Стороне в связи с действием, исполнением и расторжением Договора.</t>
  </si>
  <si>
    <t>срок исполнения по 31.12.2025</t>
  </si>
  <si>
    <t>аванс 2500 000           *два штрафа по 300 000 в пользу СиБЭР</t>
  </si>
  <si>
    <t xml:space="preserve">                     исполнен                       реорганизация ООО "ММК" от 07.04.2025</t>
  </si>
  <si>
    <t>Аванс в размере10% от стоимости выполнения работ по договору, поступивших на лицевой счет заказчика, окочательный расчет по договору производится после подписания сторонами Актусдачи-приемки работ.</t>
  </si>
  <si>
    <t>Соглашение о расторжении Договора № СИБЭРСИБЭМ-24/2237 от 16.05.2025</t>
  </si>
  <si>
    <t>ДС №7 СИБЭРСИБЭМ-23/2510</t>
  </si>
  <si>
    <t>ДС №8 СИБЭРСИБЭМ-23/2510</t>
  </si>
  <si>
    <t>до 30.09.2025</t>
  </si>
  <si>
    <t>Зачёта не было. От куратора СЗ об инициации исковой работы в ЮС не поступала. Руководитель проекта К.В. Краснолобов вопрос об инициации судебной работы вынесет на обсуждение с руководством АО СибЭР.</t>
  </si>
  <si>
    <t>ДС № 5 к СИБЭРСИБЭМ-22/5729</t>
  </si>
  <si>
    <t>Продление срока выполнения работ/ доп объем</t>
  </si>
  <si>
    <t>6.19.13-7207 от 27.01.2025</t>
  </si>
  <si>
    <t>От контрагента поступил отказной ответ от 05.02.2025. В адрес К.В. Краснолобова и С.Р. Янова направлен 27.02.2025 отказной ответ от контрагента на рассмотрение. Ответ от С.Р. Янова не поступил.</t>
  </si>
  <si>
    <t>1</t>
  </si>
  <si>
    <t xml:space="preserve"> Соглашение № 5 об уступке права требования по договору № СИБЭРСИБЭМ-24/5702 от 14.02.2025 г.</t>
  </si>
  <si>
    <t>Соглашение № 5 об уступке права требования по договору № СИБЭРСИБЭМ-24/5702 от 14.02.2025 г.</t>
  </si>
  <si>
    <t>ДС №1 к СИБЭРСИБЭМ-25/1402</t>
  </si>
  <si>
    <t>Корректировка договорного коэффициента, увеличение цены договора, включение системы мониторинга физического труда SOLUT</t>
  </si>
  <si>
    <t>Выписка ЦЗК 42-СибЭМ от 11.06.2025_В 60 (8520 ЗГРАДА )</t>
  </si>
  <si>
    <t>Акционерное общество "Красноярское Монтажное Управление"Гидромонтаж"</t>
  </si>
  <si>
    <t>СИБЭРСИБЭМ-25/2992</t>
  </si>
  <si>
    <t>Выполнение комплекса строительно-монтажных работ по монтажу газоходов энергоблока № 6 Приморской ГРЭС</t>
  </si>
  <si>
    <t>90 к.д.</t>
  </si>
  <si>
    <t>ВЫПИСКА ЦЗК 38-СИБЭМ ОТ 28.05.2025 Г (1438)</t>
  </si>
  <si>
    <t>office_gidrom@mail.ru</t>
  </si>
  <si>
    <t>ООО "Гамма Интеграция"</t>
  </si>
  <si>
    <t xml:space="preserve"> Общество с ограниченной ответственностью "Гамма интеграция"</t>
  </si>
  <si>
    <t>СИБЭРСИБЭМ-25/2241</t>
  </si>
  <si>
    <t>бл.3,6</t>
  </si>
  <si>
    <t>Выписка ЦЗК 26-СибЭМ от 09.04.2025 (1663)</t>
  </si>
  <si>
    <t xml:space="preserve">info@gammaint.ru tender@gammaint.ru </t>
  </si>
  <si>
    <t>СИБЭРСИБЭМ-25/2869</t>
  </si>
  <si>
    <t>ООО "Фар ист констракшн"</t>
  </si>
  <si>
    <t xml:space="preserve"> Общество с ограниченной ответственностью "Фар ист констракшн"</t>
  </si>
  <si>
    <t>СИБЭРСИБЭМ-25/3260</t>
  </si>
  <si>
    <t xml:space="preserve">выполнение  комплекса  работ по устройству временной схемы кондиционирования помещения ПТК энергоблока № 6 Приморской ГРЭС </t>
  </si>
  <si>
    <t xml:space="preserve"> Приморская ГРЭС</t>
  </si>
  <si>
    <t>в течение 45 календарных дней с момента фактического выполнения работ: подписания уполномоченными представителями сторон Актов</t>
  </si>
  <si>
    <t>с момента заключения договора -  не позднее 25.06.2025.</t>
  </si>
  <si>
    <t>Выписка ЦЗК №38 от 28.05.2025</t>
  </si>
  <si>
    <t>Артемов Ю.В.</t>
  </si>
  <si>
    <t>СИБЭРСИБЭМ-25/3225</t>
  </si>
  <si>
    <t xml:space="preserve">Выполнение работ по токарной обработкеповерхностей ТА №6 Приморской ГРЭС </t>
  </si>
  <si>
    <t xml:space="preserve">предоплата в размере 30% в течение 5 б.д с момента подписания договора </t>
  </si>
  <si>
    <t>14 р.д. с момента подписания договора</t>
  </si>
  <si>
    <t>Фахрутдинов А.Х.</t>
  </si>
  <si>
    <t>office@mt-team.ru</t>
  </si>
  <si>
    <t>СИБЭРСИБЭМ-25/2827</t>
  </si>
  <si>
    <t xml:space="preserve">Выполнение комплекса пусконаладочных работ на энергоблоке № 6 Приморской ГРЭС </t>
  </si>
  <si>
    <t>С 10.06.2025 по 31.12.2025</t>
  </si>
  <si>
    <t>Выписка ЦЗК №32 от 30.04.2025</t>
  </si>
  <si>
    <t>Кулик Андрей Александрович</t>
  </si>
  <si>
    <t>priemnayaIAC@sibgenco.ru</t>
  </si>
  <si>
    <t>срок исполнения</t>
  </si>
  <si>
    <t>нарушения</t>
  </si>
  <si>
    <t>вопросы</t>
  </si>
  <si>
    <t xml:space="preserve">Кол-во договоров </t>
  </si>
  <si>
    <t xml:space="preserve">Инициировано ДС </t>
  </si>
  <si>
    <t>Заключено ДС</t>
  </si>
  <si>
    <t xml:space="preserve">Нарушение  по вине Заказчика </t>
  </si>
  <si>
    <t>Нарушение  по вине Подрядчика</t>
  </si>
  <si>
    <t xml:space="preserve">Общество с ограниченной ответственностью «Компания КрасЭнергостройКомплекс» </t>
  </si>
  <si>
    <t>ООО «Компания КЭСК»</t>
  </si>
  <si>
    <t>СИБЭРСИБЭМ-25/3601</t>
  </si>
  <si>
    <t>Выполнение комплекса СМР системы водяного и газового пожаротушения главного корпуса 100МВт, и клавного корпуса 200МВт</t>
  </si>
  <si>
    <t>аванс  25 % от в течение 5 р.д с момента предоставления БГ</t>
  </si>
  <si>
    <t>с момента обеспечения строительной готовности по 01.12.2025</t>
  </si>
  <si>
    <t xml:space="preserve"> Выписка ЗК № 53 от 10.06.2025 </t>
  </si>
  <si>
    <t>СИБЭРСИБЭМ-25/3498</t>
  </si>
  <si>
    <t>выполнение комплекса строительно-монтажных работ по замене кубов ВЗП котлоагрегатов 2A и 2Б энергоблока ст. № 2, котлоагрегата 3A энергоблока ст. № 3, котлоагрегата энергоблока ст. № 6</t>
  </si>
  <si>
    <t xml:space="preserve">аванс в размере 30% от цены договора в течение 5 (пяти) рабочих дней </t>
  </si>
  <si>
    <t>90 календарных дней с момента оплаты авансового платежа и уведомления о начале работ с момента вытсавл. Счета</t>
  </si>
  <si>
    <t>Выписка ЦЗК № 42 от 11.06.2025 (закупка № 4662-2023-ИП-СибЭМ)</t>
  </si>
  <si>
    <t>Общество с ограниченной ответственностью "Владэнергомонтаж"</t>
  </si>
  <si>
    <t>СИБЭРСИБЭМ-25/3606</t>
  </si>
  <si>
    <t>Выполнение комплекса строительно-монтажных работ по замене кубов ВЗП 1 и 2 ступеней котлоагрегата 3A заводской № 1133 энергоблока ст. № 3 Приморской ГРЭС</t>
  </si>
  <si>
    <t>ВЫПИСКА ЦЗК № 42 ОТ 11.06.2025</t>
  </si>
  <si>
    <t xml:space="preserve">Гавриш В.С. </t>
  </si>
  <si>
    <t xml:space="preserve">Тел: +7 (423) 246-46-22
E-mail: vem2012@bk.ru 
</t>
  </si>
  <si>
    <t xml:space="preserve"> СИБЭРСИБЭМ-25/3604</t>
  </si>
  <si>
    <t>Выполнение комплекса строительно-монтажных работ по замене кубов ВЗП котлоагрегатов 2A и 2Б энергоблока ст. № 2, котлоагрегата 3A энергоблока ст. № 3, котлоагрегата энергоблока ст. № 6 (лот №1)</t>
  </si>
  <si>
    <t>не позднее 06.09.2025</t>
  </si>
  <si>
    <t>ООО «АМА»</t>
  </si>
  <si>
    <t>Общество с ограниченной ответственностью «АМА»</t>
  </si>
  <si>
    <t>СИБЭРСИБЭМ-25/4187</t>
  </si>
  <si>
    <t xml:space="preserve">Выполнение комплекса строительно-монтажных работ по нанесению антикоррозийной защиты, тепловой изоляции и обмуровки оборудования в границах энергоблока ст. № 6 и котлоагрегата ст. № 3А, 3Б Приморской ГРЭС </t>
  </si>
  <si>
    <t>аванс в размере 30% от цены Договора в течение  7-ми рабочих дней с даты подписания договора</t>
  </si>
  <si>
    <t xml:space="preserve">до 15.10.2025 </t>
  </si>
  <si>
    <t>Выписка ЦЗК №47 от 02.07.2025</t>
  </si>
  <si>
    <t>Кузнецов Сергей Владимирович</t>
  </si>
  <si>
    <t>Тел. +7 924 403 04 27
E-mail: AMA-2012khv@mail.ru
roma-08076@mail.ru</t>
  </si>
  <si>
    <t xml:space="preserve"> АО "Силовые Машины"</t>
  </si>
  <si>
    <t xml:space="preserve"> Акционерное общество "Силовые Машины - Зтл, Лмз, Электросила, Энергомашэкспорт"</t>
  </si>
  <si>
    <t xml:space="preserve"> СИБЭРСИБЭМ-25/4799 (20250309)</t>
  </si>
  <si>
    <t xml:space="preserve"> Выполнение работ по переоблопачиванию лопаток ротора низкого давления паровой турбины К-210-130-3М3 энергоблока № 6 Приморской ГРЭС</t>
  </si>
  <si>
    <t xml:space="preserve"> с 21.07.2025 по 02.08.2025</t>
  </si>
  <si>
    <t>ВЫПИСКА ЦЗК 50-СИБЭМ ОТ 11.07.25_5946</t>
  </si>
  <si>
    <t>Tsyganova_ZN@power-m.ru</t>
  </si>
  <si>
    <t>СИБЭРСИБЭМ-25/4020</t>
  </si>
  <si>
    <t>Выполнение комплекса работ по токарной обработке поверхностей элементов паровой турбины турбоагрегата Т-96/110-90 ст. № 3 Приморской ГРЭС (ремонтная программа)</t>
  </si>
  <si>
    <t xml:space="preserve">аванс  в размере 30%  в течение 5 б.д с момента подписания договора </t>
  </si>
  <si>
    <t>с 01.07.2025, не позднее 23 к.д.</t>
  </si>
  <si>
    <t>Выписка ЗК №58 от 26.06.2025  (45835)</t>
  </si>
  <si>
    <t>Дериглазов Александр Владимирович</t>
  </si>
  <si>
    <t xml:space="preserve"> office@mt-team.ru</t>
  </si>
  <si>
    <t>Договор  СИБЭРСИБЭМ-24/2867</t>
  </si>
  <si>
    <t>ООО «ПСК «Байс»</t>
  </si>
  <si>
    <t>ДС №2 к Договору  СИБЭРСИБЭМ-24/2867</t>
  </si>
  <si>
    <t>Дмитриев Евгений Валерьевич</t>
  </si>
  <si>
    <t>Договор СИБЭРСИБЭМ-24/4252</t>
  </si>
  <si>
    <t>Банковская гарантия №5110000211</t>
  </si>
  <si>
    <t>07.10.2024 - 06.08.2025</t>
  </si>
  <si>
    <t>ДС №1 к Договору СИБЭРСИБЭМ-24/4624</t>
  </si>
  <si>
    <t>ДС № 2 к СИБЭРСИБЭМ-24/5066</t>
  </si>
  <si>
    <t xml:space="preserve"> Выполнение дополнительных работ по тех.решению</t>
  </si>
  <si>
    <t>ВЫПИСКА ЦЗК 44-СИБЭМ ОТ 20.06.2025</t>
  </si>
  <si>
    <t>Збараг  Р.И./Антонов А.А.</t>
  </si>
  <si>
    <t xml:space="preserve"> цена договора составляет 27 683 661,36, выплачен аванс 3 000 000   требуется  претензионная работа  или будет выполнение работ?? </t>
  </si>
  <si>
    <t xml:space="preserve">ДС №1 СИБЭРСИБЭМ-25/154 </t>
  </si>
  <si>
    <t xml:space="preserve"> Продление сроков выполнения работ до 15.07.2025</t>
  </si>
  <si>
    <t>с 16.04.2025 по 15.07.2025</t>
  </si>
  <si>
    <t>ВЫПИСКА ЦЗК 46-СИБЭМ ОТ 27.06.2025 Г (7275)</t>
  </si>
  <si>
    <t xml:space="preserve">контроль за исполнением договора, действующий по 31.12.2025 </t>
  </si>
  <si>
    <t xml:space="preserve">срок выполнения работ с момента передачи строительной площадки;
окончание: 120 календарных дней с момента передачи строительной площадки по 30.08.2025 </t>
  </si>
  <si>
    <t>Наименование контрагента (сокращенное)</t>
  </si>
  <si>
    <t>Код контрагента в САП</t>
  </si>
  <si>
    <t>Код договора в САП</t>
  </si>
  <si>
    <t>Дата договора/доп.соглаш.</t>
  </si>
  <si>
    <t>Общая стоимость договора (руб)</t>
  </si>
  <si>
    <t>Срок выполнения работ</t>
  </si>
  <si>
    <t>Протокол ПДЗК / ЦЗК/ КпЗ</t>
  </si>
  <si>
    <t>Приморская ГРЭС</t>
  </si>
  <si>
    <t>СП ООО "SHTET"</t>
  </si>
  <si>
    <t>Совместное предприятие Общество с Ограниченнойответственностью "SHARQTEHENERGOTA'MIR"</t>
  </si>
  <si>
    <t>СИБЭРСИБЭМ-25/748</t>
  </si>
  <si>
    <t>Выполнение работ по капитальному ремонту вспомогательного оборудования Приморской ГРЭС</t>
  </si>
  <si>
    <t>Янов С.Р./ Панов С.А. с 13.05.2025</t>
  </si>
  <si>
    <t>Соглашение об уступке права требования по Договору № СИБЭРСИБЭМ-25/748</t>
  </si>
  <si>
    <t>Соглашение о переводе долга</t>
  </si>
  <si>
    <t xml:space="preserve"> Соглашение о переводе долга</t>
  </si>
  <si>
    <t>ДС №1  СИБЭРСИБЭМ-25/748</t>
  </si>
  <si>
    <t xml:space="preserve"> 18.06.2025</t>
  </si>
  <si>
    <t>ВЫПИСКА ИЗ ПРОТОКОЛА ЦЗК 40-СИБЭМ ОТ 04.06.2025 (ЗАКУПКА 2669-2025-ИП СИБЭМ)-ДС1</t>
  </si>
  <si>
    <t xml:space="preserve"> Соглашение №3 об уступке к  СИБЭРСИБЭМ-25/748</t>
  </si>
  <si>
    <t>Соглашение №3 об уступке</t>
  </si>
  <si>
    <t xml:space="preserve"> Соглашение №4 о переводе долга</t>
  </si>
  <si>
    <t>Соглашение №4 о переводе долга</t>
  </si>
  <si>
    <t>СИБЭРСИБЭМ-25/2246</t>
  </si>
  <si>
    <t>Выполнение комплекса строительно-монтажных работ по
капитальному ремонту турбоагрегата энергоблока ст. №3 и вспомогательного оборудования энергоблоков №3, №6 Приморской ГРЭС</t>
  </si>
  <si>
    <t>с момента подписания договора по 30.09.2025</t>
  </si>
  <si>
    <t>Выписка ЦЗК 24-СибЭМ от 02.04.2025_2933</t>
  </si>
  <si>
    <t>Соглашение № 1 об уступке по Договору СИБЭРСИБЭМ-25/2246 от 22.04.2025</t>
  </si>
  <si>
    <t>ДС №1 к СИБЭРСИБЭМ-25/2246</t>
  </si>
  <si>
    <t>дополнительный объем</t>
  </si>
  <si>
    <t>с 26.06.2025 по 10.08.2025</t>
  </si>
  <si>
    <t>Выписка из протокола ЦЗК 40-СибЭМ от 04.06.2025 (Закупка 2933-2025-ИП СибЭМ ДС1)</t>
  </si>
  <si>
    <t>Соглашение №2 о переводе долга по Договору СИБЭРСИБЭМ-25/2246</t>
  </si>
  <si>
    <t>СИБЭРСИБЭМ-25/2244</t>
  </si>
  <si>
    <t>выполнение комплекса работ по ремонту вспомогательного оборудования и элементов основного оборудования энергоблоков ст. № 3,6 Приморской ГРЭС</t>
  </si>
  <si>
    <t>с 04.06.2025 по 30.09.2025</t>
  </si>
  <si>
    <t>Выписка из протокола ЦЗК 27-СибЭМ от 11.04.2025 (Закупка 3020-2025-ИП СибЭМ)</t>
  </si>
  <si>
    <t>СИБЭРСИБЭМ-25/2245 (СИБЭРСИБЭМ-25/3080)</t>
  </si>
  <si>
    <t>Выполнить комплекс работ по ремонту вспомогательного оборудования и элементов основного оборудования энергоблоков ст. № 6 Приморской ГРЭС</t>
  </si>
  <si>
    <t>155 к.д. с момента получения авансового платежа (по 19.11.2025)</t>
  </si>
  <si>
    <t xml:space="preserve"> ВЫПИСКА ИЗ ПРОТОКОЛА ЦЗК 37-СИБЭМ ОТ 23.05.2025  </t>
  </si>
  <si>
    <t xml:space="preserve">ООО "ДВСК" </t>
  </si>
  <si>
    <t xml:space="preserve">Общество с ограниченной ответственностью «Дальневосточная строительная компания» </t>
  </si>
  <si>
    <t>№СИБЭРСИБЭМ-25/2778</t>
  </si>
  <si>
    <t>Выполнение комплекса работ по ремонту вспомогательного оборудования и элементов основного оборудования энергоблоков ст. № 3,6 Приморской ГРЭС, ремонтная программа</t>
  </si>
  <si>
    <t>с 05.06.2025 по 30.09.2025</t>
  </si>
  <si>
    <t>Выписка ЦЗК 34-СибЭМ от 14.05.2025</t>
  </si>
  <si>
    <t>ООО "КХС"</t>
  </si>
  <si>
    <t>Общество с ограниченной ответственностью "КоксоХимСервис"</t>
  </si>
  <si>
    <t>СИБЭРСИБЭМ-25/2912</t>
  </si>
  <si>
    <t>выполнение комплекса строительно-монтажных работ по нанесению антикоррозийной защиты, тепловой изоляции и обмуровки оборудования в границах энергоблока ст. № 6 и котлоагрегата ст. № 3А, 3Б Приморской ГРЭС</t>
  </si>
  <si>
    <t>с 01.07.2025 по 01.09.2025</t>
  </si>
  <si>
    <t>Выписка ЦЗК 32-СибЭМ от 30.04.2025_3097 (КоксоХимСервис) KZ Fin</t>
  </si>
  <si>
    <t>срок выполнения работ по 20.06.202</t>
  </si>
  <si>
    <t>выплачен аванс 1 528 082,01</t>
  </si>
  <si>
    <t>контроль за исполнением договора, действующий по 27.02.2026</t>
  </si>
  <si>
    <t>контроль за исполнением договора, действующий по 31.12.2025</t>
  </si>
  <si>
    <t>цена договора 39 180 000, Выплачен аванс 3 000 000 работы выполняются?</t>
  </si>
  <si>
    <t>цена договора 132 540 924,93, Выплачен аванс 5 000 000 работы выполняются?</t>
  </si>
  <si>
    <t>с 09.07.2025 по 21.02.2026</t>
  </si>
  <si>
    <t>БГ № 311898</t>
  </si>
  <si>
    <t>цена договора 91 920 879,6, оборотов по Акту нет, работы выполняются?</t>
  </si>
  <si>
    <t>цена договора 13 954 790,21, выплачен аванс 4 186 437,06, работы выполняются?</t>
  </si>
  <si>
    <t>срок до 15.07.2025</t>
  </si>
  <si>
    <t>*штраф 60 000, в пользу СиБЭР</t>
  </si>
  <si>
    <t>Ремизов Олег Олегович</t>
  </si>
  <si>
    <t xml:space="preserve">претензия+уведомление о зачете пени за просрочку конечного срока завершения работ </t>
  </si>
  <si>
    <t xml:space="preserve">6.19.13-70303 от 08.07.2025 </t>
  </si>
  <si>
    <t xml:space="preserve">ответ на претензию № 11 от 09.07.2025. Подготовлен ответ об отклонении предложения + уведомление о зачете пени №6.19.13-74821  от 21.07.2025  </t>
  </si>
  <si>
    <t xml:space="preserve">ДС №3 СИБЭРСИБЭМ-24/4823 </t>
  </si>
  <si>
    <t xml:space="preserve"> Продление сроков выполнения работ по шифрам до 30.09.2025</t>
  </si>
  <si>
    <t>по 30.09.2025</t>
  </si>
  <si>
    <t>ВЫПИСКА ЦЗК 49-СИБЭМ ОТ 09.07.2025 Г (5270)</t>
  </si>
  <si>
    <t xml:space="preserve"> Соглашение № 6 об уступке права требования по договору № СИБЭРСИБЭМ-24/5702 от 14.02.2025 г.</t>
  </si>
  <si>
    <t>Соглашение № 6 об уступке права требования по договору № СИБЭРСИБЭМ-24/5702 от 14.02.2025 г.</t>
  </si>
  <si>
    <t>Кабанов В.В.</t>
  </si>
  <si>
    <t>ДС №2 к СИБЭРСИБЭМ-25/1402</t>
  </si>
  <si>
    <t>Дополнительный объем работ (без увеличения цены договора)</t>
  </si>
  <si>
    <t>по 31.10.2025</t>
  </si>
  <si>
    <t>Выписка ЦЗК 57-СибЭМ от 06.08.2025_В 27 (8520)</t>
  </si>
  <si>
    <t>ДС № 1 к СИБЭРСИБЭМ-25/1701</t>
  </si>
  <si>
    <t>Выписка ЗК 73 СибЭМ от 12.08.2025_2261</t>
  </si>
  <si>
    <t>Гавриш В. С.</t>
  </si>
  <si>
    <t xml:space="preserve"> ООО "ЭИ"</t>
  </si>
  <si>
    <t>СИБЭРСИБЭМ-25/3572</t>
  </si>
  <si>
    <t>Выполнение комплекса строительно-монтажных
работ по монтажу системы отопления главного корпуса 200 МВт</t>
  </si>
  <si>
    <t>Подрядчик выплачивает Субподрядчику аванс на оплату материалов в размере 3 000 000,00 руб. (Три миллиона
рублей 00 копеек), в т.ч. НДС 20% 500 000,00 руб. (Пятьсот тысяч рублей 00 копеек) в течение 10 (десяти) календарных дней
с момента предоставления Субподрядчиком счета на предоплату при предоставлении обосновывающих документов.</t>
  </si>
  <si>
    <t>Выписка ЦЗК 42-СибЭМ от 11.06.2025_В 48 (2959 Энергоинжиниринг ),Выписка из протокола ЦЗК 52-СибЭМ от 18.07.2025 (Закупка 2959-2025-ИП СибЭМ)</t>
  </si>
  <si>
    <t xml:space="preserve">energo.ingin@gmail.com </t>
  </si>
  <si>
    <t>СИБЭРСИБЭМ-25/3790</t>
  </si>
  <si>
    <t>Выполнение комплекса строительно-монтажных работ по нанесению антикоррозийной защиты, тепловой изоляции и обмуровки оборудования в границах энергоблока ст. № 6 и котлоагрегата ст. № 3А, 3Б Приморской ГРЭС (ремонтная программа)</t>
  </si>
  <si>
    <t>с 30.07.2025 по 30.09.2025</t>
  </si>
  <si>
    <t>Выписка ЦЗК №43 от 18.06.2025</t>
  </si>
  <si>
    <t>СИБЭРСИБЭМ-25/3835</t>
  </si>
  <si>
    <t>Выполнение комплекса работ по ремонту вспомогательного оборудования и элементов основного оборудования энергоблоков ст. № 3,6 Приморской ГРЭС  (ремонтная программа)</t>
  </si>
  <si>
    <t xml:space="preserve">Выписка ЦЗК №44 от 20.06.2025 </t>
  </si>
  <si>
    <t>СИБЭРСИБЭМ-25/3492</t>
  </si>
  <si>
    <t>Выполнение комплекса работ по изготовлению, поставке и монтажу наружных газоходов энергоблока № 3</t>
  </si>
  <si>
    <t>аванс 30 %  в течение 5 р.д с момента предоставления БГ</t>
  </si>
  <si>
    <t>не более 90 к.д. обеспечения строительной готовности.</t>
  </si>
  <si>
    <t>ВЫПИСКА ЦЗК 51-СИБЭМ ОТ 16.07.2025 Г (4238)</t>
  </si>
  <si>
    <t>ООО «РЭР»</t>
  </si>
  <si>
    <t>Общество с ограниченной ответственностью «Ремэнергоресурс»</t>
  </si>
  <si>
    <t>СИБЭРСИБЭМ-25/3882</t>
  </si>
  <si>
    <t>Выполнение комплекса работ по ремонту вспомогательного оборудования и элементов основного оборудования энергоблоков ст. № 3,6 Приморской ГРЭС (ремонтная программа)</t>
  </si>
  <si>
    <t>С момента подписания акта
приема-передачи строительной площадки до 30.09.2025</t>
  </si>
  <si>
    <t>Выписка ЦЗК № 44 от 20.06.2025</t>
  </si>
  <si>
    <t>reresurs@gmail.com</t>
  </si>
  <si>
    <t xml:space="preserve">ООО «Декор» </t>
  </si>
  <si>
    <t xml:space="preserve">Общество с ограниченной ответственностью «Декор» </t>
  </si>
  <si>
    <t>СИБЭРСИБЭМ-25/3872</t>
  </si>
  <si>
    <t xml:space="preserve">комплекс работ по демонтажу и монтажу обмуровки и тепловой изоляции в местах замены ВЗП-1 и 2 ступеней котельных агрегатов ст. № 2А, 2Б энергоблока № 2 </t>
  </si>
  <si>
    <t>Приморской ГРЭС</t>
  </si>
  <si>
    <t>аванс 10% , в течение 7-ми к.д. после заключения договора</t>
  </si>
  <si>
    <t>не более 30 календарных дней с момента обеспечения строительной
готовности.</t>
  </si>
  <si>
    <t>Выписка ЦЗК №45 от 25.06.2025</t>
  </si>
  <si>
    <t xml:space="preserve">info@decor-pfp.com
</t>
  </si>
  <si>
    <t xml:space="preserve"> ООО "Ерс-Энерго"</t>
  </si>
  <si>
    <t>Общество с Ограниченной Ответственностью "Ерс-Энерго"</t>
  </si>
  <si>
    <t xml:space="preserve"> СИБЭРСИБЭМ-25/4743</t>
  </si>
  <si>
    <t xml:space="preserve"> 28.07.2025</t>
  </si>
  <si>
    <t>Выполнение комплекса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3 и № 6, ЦНС, БНС-1, а также устранению дефектов выполненных электромонтажных работ на энергоблоке № 5 и № 9 Приморской ГРЭС (ч/часы)</t>
  </si>
  <si>
    <t>с 28.07.2025 по 30.10.2025</t>
  </si>
  <si>
    <t>ВЫПИСКА ЦЗК 50-СИБЭМ ОТ 11.07.2025_В 25 (5989 ЕРС ЭНЕРГО )</t>
  </si>
  <si>
    <t>ДС № 1 к договору  СИБЭРСИБЭМ-25/4743</t>
  </si>
  <si>
    <t>размере 3 000 000,00 руб. (в течение 5 к.д. с момента подписания ДС и предоставления Субподрядчиком счета на предоплату</t>
  </si>
  <si>
    <t>Выписка ЦЗК 57-СибЭМ от 06.08.2025_В25</t>
  </si>
  <si>
    <t>ООО "Сэс"</t>
  </si>
  <si>
    <t>Общество С Ограниченной Ответственностью "Сибэнергострой"</t>
  </si>
  <si>
    <t>СИБЭРСИБЭМ-25/4480</t>
  </si>
  <si>
    <t>Выполнение комплекса работ по ремонту вспомогательного оборудования и элементов основного оборудования энергоблоков ст. № 3,6 Приморской ГРЭС (ремонтная программа). Подписание УКЭП</t>
  </si>
  <si>
    <t>ВЫПИСКА ИЗ ПРОТОКОЛА ЦЗК 48-СИБЭМ ОТ 04.07.2025 (ЗАКУПКА 3020-2025-ИП СИБЭМ)</t>
  </si>
  <si>
    <t>Кузнецов С.В.</t>
  </si>
  <si>
    <t xml:space="preserve">ООО «ИНКОМ» </t>
  </si>
  <si>
    <t xml:space="preserve">Общество С Ограниченной Ответственностью «ИНКОМ» </t>
  </si>
  <si>
    <t>Дог.СИБЭРСИБЭМ-25/3871</t>
  </si>
  <si>
    <t>Выполнение комплекса строительно-монтажных работ по монтажу системы кондиционирования ГК200</t>
  </si>
  <si>
    <t xml:space="preserve">92 707 842,26‬   </t>
  </si>
  <si>
    <t>20% в течение 5 (пяти) рабочих дней с момента предоставления Субподрядчиком счета на предоплату</t>
  </si>
  <si>
    <t>Выписка ЦЗК №44 от 20.06.2025</t>
  </si>
  <si>
    <t>Ермолаев  В.В.</t>
  </si>
  <si>
    <t xml:space="preserve">E-mail: moa.80@mail.ru
</t>
  </si>
  <si>
    <t>ООО "СТРОТЭК"</t>
  </si>
  <si>
    <t>Общество с Ограниченной Ответственностью "СТРОТЭК"</t>
  </si>
  <si>
    <t>СИБЭРСИБЭМ-25/4869</t>
  </si>
  <si>
    <t>Выполнение комплекса строительно-монтажных работ по монтажу обмуровки и тепловой изоляции котлоагрегатов ст. № 3А, Б энергоблока № 3 Приморской ГРЭС</t>
  </si>
  <si>
    <t>бл.3</t>
  </si>
  <si>
    <t>аванс в размере 10 000 000,00 в течение 7 (семи) календарных дней с момента подписания договора и предоставления Субподрядчиком счета на предоплату. аванс в размере 30 000 000,00 в течение 7 (семи) календарных дней с момента предоставления Субподрядчиком банковской гарантии возврата авансового платежа и счета на предоплату</t>
  </si>
  <si>
    <t>с момента обеспечения строительной готовности до 30.11.2025 г.</t>
  </si>
  <si>
    <t>Выписка из протокола ЦЗК 52-СибЭМ от 18.07.2025 (Закупка 5696-2025-ИП СибЭМ)</t>
  </si>
  <si>
    <t xml:space="preserve">Тел: +7(917)800-00-70;, +7(987) 051-88-88
E-mail:  stroytek-slv@mail.ru 
</t>
  </si>
  <si>
    <t>СИБЭРСИБЭМ-25/4948</t>
  </si>
  <si>
    <t>с 30.07.2025 по 20.09.2025</t>
  </si>
  <si>
    <t>Гавриш В.С.</t>
  </si>
  <si>
    <t>СИБЭРСИБЭМ-25/3660</t>
  </si>
  <si>
    <t>Выполнение электромонтажных работ оборудования топливоподачи первого и второго вводов Приморской ГРЭС</t>
  </si>
  <si>
    <t>с момента заключения по 01.12.2025</t>
  </si>
  <si>
    <t xml:space="preserve"> ВЫПИСКА ЦЗК 42-СИБЭМ ОТ 11.06.25_2696.PDF</t>
  </si>
  <si>
    <t>СИБЭРСИБЭМ-25/4969</t>
  </si>
  <si>
    <t>Выполнение комплекса пусконаладочных работ систем пожарной автоматики, пожарной и охранной сигнализации энергоблока ст. № 9 Приморской ГРЭС</t>
  </si>
  <si>
    <t>30 к.д. с момента предоставления строительной
готовности.</t>
  </si>
  <si>
    <t>Выписка ЦЗК №53 от 23.07.2025</t>
  </si>
  <si>
    <t>Старченко А.П.</t>
  </si>
  <si>
    <t>АО КМУ «ГИДРОМОНТАЖ»</t>
  </si>
  <si>
    <t>СИБЭРСИБЭМ-25/5143</t>
  </si>
  <si>
    <t xml:space="preserve">Выполнение комплекса строительно-монтажных работ по монтажу лестничного пролета рабочего прохода на проходную галерею мостового крана скрубберного отделения ГК-200 в осях 44-45 Приморской ГРЭС </t>
  </si>
  <si>
    <t>в течение 10 календарных дней с момента подписания договора</t>
  </si>
  <si>
    <t>ВЫПИСКА ЦЗК № 51-СибЭМ от 16.07.2025</t>
  </si>
  <si>
    <t>Тел. +7 (391) 223-55-77; 223 -57-78
E-mail: office_gidrom@mail.ru</t>
  </si>
  <si>
    <t>5 000 000 аванс п/п от 08.08.2025</t>
  </si>
  <si>
    <t>Работы выполняются? Завершение 1 этапа - 31.12.2024 г. почему так поздно приступили к выполнению работ? требуется ли претензионная работа?</t>
  </si>
  <si>
    <t xml:space="preserve">срок выполнения работ 06.08.2025, нарушение сроков? </t>
  </si>
  <si>
    <t>Цена договора 9 821 770,18 срок выполнения работ, не более 45 календарных дней с момента передачи строительной площадки, работы выполнены на сумму 9 585 244,57, выплачен аванс 3 928 708,07</t>
  </si>
  <si>
    <t>9 585 244,76 в том числе штраф 300 000,00</t>
  </si>
  <si>
    <t>цена договора 85 575 021,56 выплачен аванс 5 000 000,00, что с выполнением работ?</t>
  </si>
  <si>
    <t>цена договора 12 471 833,49, оборотов по Акту нет, что с выполнением работ?</t>
  </si>
  <si>
    <t>цена договора 122 877 040,14 выплачен аванс 17 000 000,00, что с выполнением работ?</t>
  </si>
  <si>
    <t>цена договора 6 281 380,64, оборотов по Акту нет, что с выполнением работ?</t>
  </si>
  <si>
    <t>цена договора 20 153 350,56, согласно Акту работы выполнены на 4 985 084,46 , что с выполнением работ?</t>
  </si>
  <si>
    <t>действующий не более 30 календарных дней с момента обеспечения строительной
готовности.</t>
  </si>
  <si>
    <t>цена договора 42 964 893,44, оборотов по Акту нет, что с выполнением работ?</t>
  </si>
  <si>
    <t>цена договора 92 707 842,26‬, выплачен аванс 18 541 568,45, что с выполнением работ?</t>
  </si>
  <si>
    <t>действующий по 01.12.2025</t>
  </si>
  <si>
    <t>цена договора 8 6490 463,86‬,  оборотов по Акту нет, что с выполнением работ?</t>
  </si>
  <si>
    <t>цена договора 4 301 515,92‬,  оборотов по Акту нет, что с выполнением работ?</t>
  </si>
  <si>
    <t>10 к.д. с момента предоставления строительной
готовности.</t>
  </si>
  <si>
    <t>ДС № 1 к договору СИБЭРСИБЭМ-22/6211</t>
  </si>
  <si>
    <t>Уменьшение объема работ</t>
  </si>
  <si>
    <t>№ 1</t>
  </si>
  <si>
    <t>Выписка из протокола ЦЗК 56-СибЭМ от 01.08.2025_7360</t>
  </si>
  <si>
    <t>увеличение стоимости, продление срока, внесение доп. пунктов по системе SOLUT</t>
  </si>
  <si>
    <t xml:space="preserve">Аванс в размере 2 500 000 руб. выплачивается в течение 5 (пяти) рабочих дней с момента заключения доп. Соглашения
</t>
  </si>
  <si>
    <t>срок по 30.09.2025</t>
  </si>
  <si>
    <t>цена договора 18 043 221,95 срок выполнения работ не более 90 календарных дней с момента заключения договора, до 15.07.2025,  работы выполнены на сумму 13 338 705, выплачен аванс 5 412 966,59</t>
  </si>
  <si>
    <t>ДС №1 к СИБЭРСИБЭМ-25/2912</t>
  </si>
  <si>
    <t>корректировка сроков выполнения работ по шифрам, включение авансирования</t>
  </si>
  <si>
    <t>с 01.07.2025 по 28.10.2025</t>
  </si>
  <si>
    <t>Выписка ЦЗК 52-СибЭМ от 18.07.2025_В 24 (3097)</t>
  </si>
  <si>
    <t>ИП Кудряшов Н.Г.</t>
  </si>
  <si>
    <t xml:space="preserve"> СИБЭРСИБЭМ-25/4020</t>
  </si>
  <si>
    <t>ДС №1  СИБЭРСИБЭМ-25/4020</t>
  </si>
  <si>
    <t xml:space="preserve">не более 23 к.д. с момента заключения договора </t>
  </si>
  <si>
    <t xml:space="preserve"> Дериглазов А.В.</t>
  </si>
  <si>
    <t>ВЫПИСКА ЗК 58 СИБЭМ ОТ 26.06.2025</t>
  </si>
  <si>
    <t>Дополнительный объем работ: механическая обработка (точение «как чисто» и шлифовка) шейки ротора генератора ТГ ст. № 6 в месте установки вкладыша водородного уплотнения со стороны турбины Ø435мм</t>
  </si>
  <si>
    <t xml:space="preserve"> по 29.08.2025</t>
  </si>
  <si>
    <t>ВЫПИСКА ЗК 64 СИБЭМ ОТ 15.07.2025</t>
  </si>
  <si>
    <t>СИБЭРСИБЭМ-25/3912</t>
  </si>
  <si>
    <t>СИБЭРСИБЭМ-25/4229</t>
  </si>
  <si>
    <t xml:space="preserve">Выполнение комплекса строительно-монтажных работ по нанесению антикоррозийной защиты, тепловой изоляции и обмуровки оборудования в границах энергоблока ст. № 6 и котлоагрегата ст. № 3А, 3Б </t>
  </si>
  <si>
    <t xml:space="preserve">Приморской ГРЭС </t>
  </si>
  <si>
    <t>с момента заключения договора до 15.10.2025</t>
  </si>
  <si>
    <t>ремонт вспомогательного оборудования и элементов основного оборудования энергоблоков ст. № 3,6</t>
  </si>
  <si>
    <t>с  момента передачи строительной площадки по 01.07.2025</t>
  </si>
  <si>
    <t>Выписка ЦЗК № 44-СибЭМ от 20.06.2025</t>
  </si>
  <si>
    <t xml:space="preserve">Приморская ГРЭС </t>
  </si>
  <si>
    <t>98 дней с даты оплаты авансового платежа и уведомления о начале работ, направленного Подрядчиком на электронную почту Субподрядчика</t>
  </si>
  <si>
    <t>Выписка из протокола ЦЗК 47-СибЭМ от 02.07.2025 (Закупка 3020-2025-ИП СибЭМ)</t>
  </si>
  <si>
    <t>Комков А.И.</t>
  </si>
  <si>
    <t>Направлен запрос куратору о факте завершения работ и о необходимости инициации продления сроков</t>
  </si>
  <si>
    <t>Вопросы</t>
  </si>
  <si>
    <t xml:space="preserve"> невыполнение 4 704 516,95         На каком этапе исполнение договора? Есть ли нарушение КА? Будет ДС к факту, продление или расторжение?требуется ли претензионная работа? Прошу пояснить </t>
  </si>
  <si>
    <t>ООО «СТРОЙМАСТЕР»</t>
  </si>
  <si>
    <t xml:space="preserve"> Общество с ограниченной ответственностью "Строймастер"</t>
  </si>
  <si>
    <t>№ММКС-24/187</t>
  </si>
  <si>
    <t>3 месяца с даты подписания</t>
  </si>
  <si>
    <t>ДС № 1 к ММКС-24/187</t>
  </si>
  <si>
    <t>работы по реконструкции инженерных систем противопожарного водопровода энергоблока ст. №9 согласно рабочей документации PMG03R.05.002.VK01 и PMG03R.05.002.VK01.SS01</t>
  </si>
  <si>
    <t xml:space="preserve">продление срока до 31.12.2025 </t>
  </si>
  <si>
    <t>до 31.12.2025</t>
  </si>
  <si>
    <t>Предоплата 30%, далее оплата с зачетом аванса в течение 15 с даты подписания акта вып. Работ</t>
  </si>
  <si>
    <t>работы выполнены, КА формирует комплект ИД для закрытия работ</t>
  </si>
  <si>
    <t>планиуется СЗ на инициацию продления сроков выполнения работ</t>
  </si>
  <si>
    <t>аванс 10% без БГ? Аванс не отработан. Срок по 30.09.2025, будет ли исполнение? Есть-ли необходимость в ведении претензионной работе  или оформление д/с к факту?</t>
  </si>
  <si>
    <t>Соглашение №7  об уступке права СИБЭРСИБЭМ-24/5702</t>
  </si>
  <si>
    <t>Уступка прав требования</t>
  </si>
  <si>
    <t>СИБЭРСИБЭМ-25/3661</t>
  </si>
  <si>
    <t>Фахрутдинов Альфир Харисович</t>
  </si>
  <si>
    <t>ООО "СТРОЙТЭК"</t>
  </si>
  <si>
    <t>Общество с Ограниченной Ответственностью "СТРОЙТЭК"</t>
  </si>
  <si>
    <t>СИБЭРСИБЭМ-25/5835</t>
  </si>
  <si>
    <t>Выполнение комплекса работ по ремонту вспомогательного оборудования и элементов основного оборудования энергоблоков ст. № 3,6 Приморской ГРЭС</t>
  </si>
  <si>
    <t>с 28.08.2025 по 31.12.2025</t>
  </si>
  <si>
    <t>ЦЗК № 59 от 12.08.2025</t>
  </si>
  <si>
    <t>ООО "МПС"</t>
  </si>
  <si>
    <t xml:space="preserve"> Общество с ограниченной ответственностью "Мастер Плит Строй"</t>
  </si>
  <si>
    <t>СИБЭРСИБЭМ-25/1766</t>
  </si>
  <si>
    <t xml:space="preserve"> 30.07.2025</t>
  </si>
  <si>
    <t>Выполнение комплекса строительно-монтажных работ по устройству кровельного покрытия главного корпуса 100 МВт Приморской ГРЭС</t>
  </si>
  <si>
    <t>5 000 000 руб. без БГ.</t>
  </si>
  <si>
    <t>с 30.07.2025 по 30.01.2026</t>
  </si>
  <si>
    <t xml:space="preserve">ВЫПИСКА ИЗ ПРОТОКОЛА КЗ 3 ОТ 20.03.2025_В4.P      ВЫПИСКА ИЗ ПРОТОКОЛА КЗ 7 ОТ 07.07.2025_В1         ВЫПИСКА ЦЗК 54-СИБЭМ ОТ 25.07.2025_В26 (5372 МПС </t>
  </si>
  <si>
    <t>Дмитриев Е.В.</t>
  </si>
  <si>
    <t xml:space="preserve">urist@mps-dv.ru      </t>
  </si>
  <si>
    <t>СИБЭРСИБЭМ-25/6100</t>
  </si>
  <si>
    <t>Выполнение работ по нанесению антикоррозийной защиты и тепловой изоляции воздуховодов горячего воздуха энергоблока №3 Приморской ГРЭС</t>
  </si>
  <si>
    <t>с момента обеспечения стройготовности по 31.12.2025</t>
  </si>
  <si>
    <t>Выписка ЦЗК№62-СибЭМ от 22.08.07.2025_5650 резерв ЭМТ</t>
  </si>
  <si>
    <t>СИБЭРСИБЭМ-25/6109</t>
  </si>
  <si>
    <t>Монтаж системы кондиционирования помещения №65 АГП ТГ-3 Приморской ГРЭС</t>
  </si>
  <si>
    <t>25 календарных дней с момента заключения договора</t>
  </si>
  <si>
    <t>Выписка ЦЗК 63-СибЭМ от 27.08.2025 _6826</t>
  </si>
  <si>
    <t>Гурьянов А.А.</t>
  </si>
  <si>
    <t>СИБЭРСИБЭМ-25/5401</t>
  </si>
  <si>
    <t xml:space="preserve"> 05.09.2025</t>
  </si>
  <si>
    <t>выполнение комплекса строительно-монтажных работ по монтажу системы противопожарного трубопровода ГК100 и ГК200</t>
  </si>
  <si>
    <t>3 000 000 руб. Без БГ 5 р.д.</t>
  </si>
  <si>
    <t>по 15.02.2026</t>
  </si>
  <si>
    <t>ВЫПИСКА ЗК 69 СИБЭМ ОТ 31.07.2025</t>
  </si>
  <si>
    <t xml:space="preserve"> ООО "КС"</t>
  </si>
  <si>
    <t xml:space="preserve"> Общество с ограниченной ответственностью "КС"</t>
  </si>
  <si>
    <t>СИБЭРСИБЭМ-25/5294</t>
  </si>
  <si>
    <t xml:space="preserve"> 08.09.2025</t>
  </si>
  <si>
    <t>электромонтажные работы по модернизации электрооборудования, раскладка силовых и контрольных кабелей, замене КИПиА и сопровождение пусконаладочных работ» на энергоблоке № 6 Приморской ГРЭС</t>
  </si>
  <si>
    <t>аванс 30% в течение 10 рабочих дней</t>
  </si>
  <si>
    <t>с 01.08.2025 по 01.10.2025</t>
  </si>
  <si>
    <t>ВЫПИСКА ЦЗК 55-СИБЭМ ОТ 29.07.2025_В26</t>
  </si>
  <si>
    <t>действующий, срок выполнения 25 календарных дней с момента заключения договора</t>
  </si>
  <si>
    <t>цена договора 6 079 727,52,  оборотов по Акту нет, что с выполнением работ?</t>
  </si>
  <si>
    <t>цена договора  6 079 727,52 оборотов по акту нет, прошу пояснить, что с выполнением работ по договору? Есть-ли необходимость в ведении претензионной работе, либо расторжение?</t>
  </si>
  <si>
    <t>цена договора 20 710 790,03  оборотов по Акту нет, что с выполнением работ?</t>
  </si>
  <si>
    <t>действующий, срок выполнения  по 30.01.2026</t>
  </si>
  <si>
    <t>цена договора 647 544 006,40  оборотов по Акту нет, что с выполнением работ?</t>
  </si>
  <si>
    <t xml:space="preserve">цена договора 19 182 279,00, работы приняты на сумму 8 209 012,58  </t>
  </si>
  <si>
    <t>СРОК ДЕЙСТВИЯ ДО 31.12.2025, выплачен аванс 5 754 683,7, контроль по выполнению работ</t>
  </si>
  <si>
    <t>срок выполненичя по 30.09.2025, цена договора 6 281 380,64, оборотов по Акту нет, что с выполнением работ? Требуется ли претензионная работа?</t>
  </si>
  <si>
    <t xml:space="preserve"> по 05.09.2025</t>
  </si>
  <si>
    <t>срок по 31.08.2025</t>
  </si>
  <si>
    <t>срок по 20.09.2025</t>
  </si>
  <si>
    <t>цена договора 67 986 000, выплачен аванс 13 597 200, что с выполнением работ?</t>
  </si>
  <si>
    <t xml:space="preserve"> Срок выполнения работ до 30.09.2025</t>
  </si>
  <si>
    <t xml:space="preserve">цена договора 22 974 574,71 работы приняты согласно Акту от  05.06.2025 на сумму 20 094 325,02 срок выполнения работ по 30.05.2025 </t>
  </si>
  <si>
    <t>работы выполняются, частично не завершены в связи с аварийным сливом золы со станции, необходимо провести работы по расчистке (рассматривается возможность выполнения данных работ КА)</t>
  </si>
  <si>
    <t>Выполняются работы на КО бл. №3, планируется ДС на увеличение объёма демонтажных работ (КА должен предоставить ТКП)</t>
  </si>
  <si>
    <t>выполнены демонтажные работы</t>
  </si>
  <si>
    <t>работы выполнены в полном объёме, претензионная работа не требуется, будет д/с к факту для корректировки бюджета</t>
  </si>
  <si>
    <t>работы выполняются, но с низкими темпами. Привлечены дополнительно 3 КА на данный вид работ. По факту завершения работ будет инициирована претензионная работа.</t>
  </si>
  <si>
    <t>работы выполняются, пакет документов для закрытия выполнения КА ещё не предоставлял.</t>
  </si>
  <si>
    <t>КА к работам не приступил, готовится обращение в ЮО о начале претензионной работы.</t>
  </si>
  <si>
    <t>работы не выполняются, в связи с отсутствием оборудования (калориферы), направлен запрос на ПримГРЭС о предоставлении откорректированных ВОР, ответ пока не получен. По результататм ответа возможно будет инициировано ДС</t>
  </si>
  <si>
    <t>работы выполняются, в связи с неполной стройготовностью (работы ВЭМ), будет инициировано продление работ, претензионная работа пока не требуется</t>
  </si>
  <si>
    <t>работы не выполняются в связи с отсутствием строительной готовности (фундаменты под оборудование монтируются собственными силами)</t>
  </si>
  <si>
    <t>КА ведут работы на экране котла 3Б</t>
  </si>
  <si>
    <t>работы выполняются, КА не предоставлял КС для завкрытия выполнения, претензионная работа пока не планируется. В связи частичным отсутствием стройготовности, рассматривается вопрос о сроках продления договора</t>
  </si>
  <si>
    <t>работы выполняются, КА не предоставлял КС для закрытия выполнения</t>
  </si>
  <si>
    <t>нет строительной готовности (не завершены работы по договору № СИБЭРСИБЭМ-24/4823)</t>
  </si>
  <si>
    <t>запущено на согласование в СЭД СЗ №6.19.18-3245/25 на инициацию продления договора до 01.11.25 г. (отсутствие материалов на складе СибЭМ, частичное отсутствие строительной готовности)</t>
  </si>
  <si>
    <t>Фактическое выполнение 70%, КА не предоставил комплект ИД и КС для подписания выполнения</t>
  </si>
  <si>
    <t>работы выполняются, претензионная работа не требуется. Информацию о дате передачи стройплощадки отсутствует, в связи со сменой куратора</t>
  </si>
  <si>
    <t>работы выполнены, претензионная работа не требуется (КА готовит ВОР на дополнительные объёмы работ по устройству лесов)</t>
  </si>
  <si>
    <t>по ДС №1 откорректирована сумма договора до 22 974 574,72 руб., исключены работы, выполненные собственными силами, с включением доп.работ, претензионная работа пока не требуется</t>
  </si>
  <si>
    <t>СИБЭРСИБЭМ-25/5779</t>
  </si>
  <si>
    <t>Выполнение комплекса работ по нанесению антикоррозионной защиты на корпус МЗУ 3А и 3Б Приморской ГРЭС в рамках проведения ремонтной программы</t>
  </si>
  <si>
    <t>с 28.08.2025 по 30.09.2025</t>
  </si>
  <si>
    <t>Выписка ЦЗК 61-СибЭМ от 20.08.2025_6362</t>
  </si>
  <si>
    <t>сентябрь</t>
  </si>
  <si>
    <t>ДС №1 к Договору СИБЭРСИБЭМ-25/3260</t>
  </si>
  <si>
    <t>Продление сроков выполнения работ по 31.07.2025</t>
  </si>
  <si>
    <t>с момента заключения по 31.07.2025</t>
  </si>
  <si>
    <t>Выписка ЦЗК №56 от 01.08.2025</t>
  </si>
  <si>
    <t>по 31.07.2025</t>
  </si>
  <si>
    <t>срок выполнения работ по 31.07.2025</t>
  </si>
  <si>
    <t>ООО "Техно-Сфера"</t>
  </si>
  <si>
    <t xml:space="preserve"> Общество с ограниченной ответственностью "Техно-Сфера"</t>
  </si>
  <si>
    <t xml:space="preserve"> СИБЭРСИБЭМ-25/6677</t>
  </si>
  <si>
    <t>Приморская ГРЭС, ремонтная</t>
  </si>
  <si>
    <t>по 20.11.2025</t>
  </si>
  <si>
    <t>ВЫПИСКА ИЗ ПРОТОКОЛА ЦЗК 68-СИБЭМ ОТ 12.09.2025 (ЗАКУПКА 3020-2025-ИП СИБЭМ)</t>
  </si>
  <si>
    <t>ДС №1 СИБЭРСИБЭМ-25/6677</t>
  </si>
  <si>
    <t>до 30.11.2025</t>
  </si>
  <si>
    <t>Выписка из протокола ЦЗК 76-СибЭМ от 10.10.2025 (Закупка 3020-2025)</t>
  </si>
  <si>
    <t>цена договора 74 070 667,33,вплачен аванс, срок по договору истек.  Есть-ли необходимость в ведении претензионной работе?</t>
  </si>
  <si>
    <t>выплачен аванс 4 186 437,06,прошу пояснить, почему нет выполнения по договору? Срок договора истек, что с неотработанным авансом?  Есть-ли необходимость в ведении претензионной работе, либо расторжение?</t>
  </si>
  <si>
    <t xml:space="preserve">прошу пояснить о ходе выполнения работ? Срок исполнения по 31.10.2025 </t>
  </si>
  <si>
    <t>срок нарушен. закончилась БГ 06.08.2025 Какой поступил ответ от КА на письмо? Когда будет инициирована претензионно-исковая работа?!</t>
  </si>
  <si>
    <t>срок нарушен. прошу пояснить о ходе выполнения работ? В какой стадии подготовка ДС о продлении сроков? требуется ли претензионная работа?</t>
  </si>
  <si>
    <t>срок действия по 01.11.2025, кода закрытие договора?</t>
  </si>
  <si>
    <t>Соглашение о расторжении Договора СИБЭРСИБЭМ-25/2550</t>
  </si>
  <si>
    <t>соглашение о расторжении от 10.10.2025</t>
  </si>
  <si>
    <t xml:space="preserve">Соглашение о расторжении </t>
  </si>
  <si>
    <t>Соглашение о расторжении договора с возвратом Субподрядчиком неотработанного аванса (ПОДПИСАНИЕ УКЭП)</t>
  </si>
  <si>
    <t>Возврат выплаченного аванса</t>
  </si>
  <si>
    <t xml:space="preserve"> 14.10.2025</t>
  </si>
  <si>
    <t>срок СМР 60 к.д. с момента обеспечения
строительной готовности, когда предоставлена СП?? срок 31.08.2025 закончился. Аванс не отработан. Когда будет инициирована претензионная работа?</t>
  </si>
  <si>
    <t>срок по 01.11.2025, что с  выполнением работ?!</t>
  </si>
  <si>
    <t>срок по 01.11.2025, работы выполнены согласно Акту от 23.10.2025 на сумму 6 898 040,28, что с выполнением работ? Требуется ли претензионная работа?</t>
  </si>
  <si>
    <t>цена договора 68 746 301,23 Выплачен аванс 6 874 630,12, работы выполняются?</t>
  </si>
  <si>
    <t>цена договора 64 130 112,95, работы выполнены согласно Акту от 09.07.2025 на сумму 60 138 773,76</t>
  </si>
  <si>
    <t>срок по 10.10.2025</t>
  </si>
  <si>
    <t>срок истек 15.10.2025 цена договора 13 954 790,21, выплачен аванс 4 186 437,06, что с выполнением работ? Требуется ли претензионная работа?</t>
  </si>
  <si>
    <t>срок по 15.10.2025</t>
  </si>
  <si>
    <t>срок по 01.10.2025</t>
  </si>
  <si>
    <t>срок по  по 30.09.2025, цена договора 85 575 021,56 выплачен аванс 5 000 000,00, что с выполнением работ? Указать дату и номер СЗ о направлении в ЮС СЗ о проведении претензионной работе?</t>
  </si>
  <si>
    <t>срок по 30.10.2025</t>
  </si>
  <si>
    <t>цена договора 12 471 833,49, оборотов по Акту нет, что с выполнением работ? срок по 30.09.2025 Указать дату и номер СЗ о направлении в ЮС СЗ о проведении претензионной работе</t>
  </si>
  <si>
    <t>срок истек 30.09.2025, цена договора 42 964 893,44, оборотов по Акту нет, что с выполнением работ? Указать дату и номер СЗ о направлении в ЮС СЗ о проведении претензионной работе</t>
  </si>
  <si>
    <t xml:space="preserve"> действующий по 30.11.2025, на каком этапе выполнение работ?</t>
  </si>
  <si>
    <t>СРОК ДЕЙСТВИЯ ДО 30.09.2025                      Акт выполненных работ от 20.08.2025 на сумму 14 766 518,82, что с выполнением  работ?  когда будет заключено ДС о продлении сроков?</t>
  </si>
  <si>
    <t>цена договора  20 710 790,03 оборотов по акту нет, на каом этапе выполнение работ? Есть-ли необходимость в ведении претензионной работе, либо расторжение?</t>
  </si>
  <si>
    <t>цена договора   647 544 006,40  оборотов по акту нет, на каом этапе выполнение работ? Есть-ли необходимость в ведении претензионной работе, либо расторжение?</t>
  </si>
  <si>
    <t>цена договора 53 132 366,27 оборотов по акту нет, на каком этапе выполнение работ? Есть-ли необходимость в ведении претензионной работе, либо расторжение?</t>
  </si>
  <si>
    <t xml:space="preserve"> Когда будет предоставлена площадка для выполнения работ?  Есть-ли необходимость в ведении претензионной работе, либо расторжение? Необходимо ДС о продлении сроков </t>
  </si>
  <si>
    <t xml:space="preserve"> на каком этапе выполнение работ? действующий по 01.12.2025. Есть-ли необходимость в ведении претензионной работе?</t>
  </si>
  <si>
    <t>цена договора 45 692 186,89 выплачен аванс 3 000 000,00, срок по 15.02.2026, прошу пояснить, что с выполнением работ по договору? Есть-ли необходимость в ведении претензионной работе</t>
  </si>
  <si>
    <t>цена договора 45 692 186,89  выплачен аванс 3 000 000, 00, что с выполнением работ?</t>
  </si>
  <si>
    <t>ДС №1 к СИБЭРСИБЭМ-24/3911</t>
  </si>
  <si>
    <t>изменение объема работ, выполнение дополнительных работ</t>
  </si>
  <si>
    <t xml:space="preserve">с момента заключения Соглашения 30 к.д. </t>
  </si>
  <si>
    <t>Выписка ЗК 91-СибЭМ от 09.10.25_5400</t>
  </si>
  <si>
    <t>Касаткин И.П.</t>
  </si>
  <si>
    <r>
      <t xml:space="preserve">срок выполнения работ с момента передачи строительной площадки;
окончание: </t>
    </r>
    <r>
      <rPr>
        <u/>
        <sz val="11"/>
        <color rgb="FFFF0000"/>
        <rFont val="Calibri"/>
        <family val="2"/>
        <charset val="204"/>
        <scheme val="minor"/>
      </rPr>
      <t xml:space="preserve">60 календарных дней с момента передачи строительной площадки. </t>
    </r>
    <r>
      <rPr>
        <sz val="11"/>
        <color rgb="FFFF0000"/>
        <rFont val="Calibri"/>
        <family val="2"/>
        <charset val="204"/>
        <scheme val="minor"/>
      </rPr>
      <t xml:space="preserve">
</t>
    </r>
  </si>
  <si>
    <t xml:space="preserve">срок выполнения по 18.11.2025 </t>
  </si>
  <si>
    <t>ДС № 1 к СИБЭРСИБЭМ-25/1260</t>
  </si>
  <si>
    <t xml:space="preserve">Выписка ЦЗК 77-СибЭМ от 15.10.25 </t>
  </si>
  <si>
    <t xml:space="preserve"> vostoknhi@mail.ru </t>
  </si>
  <si>
    <t>цена договора 1 201 220,33,  работы выполнены на сумму 1 024 810,50</t>
  </si>
  <si>
    <t xml:space="preserve">ДС №1  СИБЭРСИБЭМ-25/4799 (20250309) </t>
  </si>
  <si>
    <t xml:space="preserve"> 23.09.2025</t>
  </si>
  <si>
    <t>С 04.08.2025 по 11.08.2025</t>
  </si>
  <si>
    <t>ВЫПИСКА ЦЗК 63-СИБЭМ ОТ 27.08.2025 (5946)</t>
  </si>
  <si>
    <t xml:space="preserve"> цена договора составляет 10181342,91 выплачен аванс 3 000 000  </t>
  </si>
  <si>
    <t xml:space="preserve"> срок исполнения по 01.07.2025</t>
  </si>
  <si>
    <t>цена договора 38 797 929,59, работы приняты согласно Акту выполненных работ на сумму 37 685 488,1 срок выполнения работ не более 15 календарных дней с момента начала выполнения работ</t>
  </si>
  <si>
    <t>цена договора 123 325 902,86, работы приняты на сумму 114 407 256,59</t>
  </si>
  <si>
    <t>срок действия по 06.09.2025</t>
  </si>
  <si>
    <t>октябрь</t>
  </si>
  <si>
    <t>обращение в суд / сумма претензии 55 825 168,05  Когда будет инициирована претензионная работа?</t>
  </si>
  <si>
    <t>д/с к факту</t>
  </si>
  <si>
    <t>Исполнен</t>
  </si>
  <si>
    <t>Работы выполняются, запущена на согласование СЗ о выполнении дополнительных работ по АКЗ профлиста и продлении срока выполнения работ до 01.06.2025 г. (СЭД, проект 2025-321900)</t>
  </si>
  <si>
    <t>В связи с длительным согласованием альбомов технических решений с проектным институтом и Заказчиком, будет продление сроков выполнения работ на 2026 г., направлен запрос на КА на предоставление на согласование календарного графика выполнения работ для инициации ДС</t>
  </si>
  <si>
    <t>Работы не выполняются, инициирована претензионная работа по непредоставлению графиков СМР. По окончанию срока выполнения работ планируется претензионная работа за несоблюдение конечного срока</t>
  </si>
  <si>
    <t>СЗ на продление сроков будет инициирована после согласования продления сроков по договору № СИБЭРСИБЭМ-25/4823 (предыдущий этап работ)</t>
  </si>
  <si>
    <t>Направлена СЗ на инициацию ДС на выполнение доп.работ и продлении срока до 30.12.2025 (СЭД, № 6.19.18-4225/25)</t>
  </si>
  <si>
    <t>Работы выполнены, проводится проверка объёмов выполненных работ в связи со сменой куратора. КА направил документы на заключение ДС по приведению суммы договора в соответствие с фактом. После проверки будет инициировано ДС.</t>
  </si>
  <si>
    <t>Направлена в адрес КА претензия за нарушение конечного срока выполнения работ (исх.-6.19.13-114106 от 29.10.25)</t>
  </si>
  <si>
    <t>Направлена СЗ на инициацию исковой работы (СЭД, № 6.19.18-3273/25 от 16.09.25)</t>
  </si>
  <si>
    <t>Работы не выполнялись. Направлена СЗ на претензионную работу по непредоставлению СМГ (№ 6.19.18-4105/25 от 23.10.25), а также СЗ б/н от 10.11.25 о нарушении конечного срока выполнения работ.</t>
  </si>
  <si>
    <t>Направлена претензия о непредоставлении СМГ (6.19.13-115627 от 13.10.25)</t>
  </si>
  <si>
    <t>Ведётся поиск оборудования на складе СибЭМ, 10-11.11.25 должны вскрыть коробки со шкафами, предоставить информацию по наличию материалов и спп-элементах, и выносим СЗ на ЦЗК</t>
  </si>
  <si>
    <t>Работы выполняются, на данный момент претензионная работа не требуется</t>
  </si>
  <si>
    <t>Работы пока не начинали, согласован ППР</t>
  </si>
  <si>
    <t>Работы выполняются, завершены на 80%</t>
  </si>
  <si>
    <t>Работы выполняются, документы для закрытия КА пока не предоставлял, готовится ДС по включению работ по устройству цементно-песчаной стяжки по тех.решению, куратор готовит разделение объёмов между субподрядчиками (ООО "Байс" и ООО "МПС")</t>
  </si>
  <si>
    <t>Работы выполняются, позднее начало в связи с низкими темпами мобилизации, и первоочередной необходимостью завершения работ по турбинному отделению бл.200 МВт. готовится ДС по включению работ по устройству цементно-песчаной стяжки по тех.решению, куратор готовит разделение объёмов между субподрядчиками (ООО "Байс" и ООО "МПС")</t>
  </si>
  <si>
    <t>Работы на данный момент не выполняются, проводились совместные с куратором осмотры площадки, КА ссылается на необходимость доработки технического решения по прокладке трубопровода, в связи с несоответствием проектных решений и фактическим расположением конструкций</t>
  </si>
  <si>
    <t>Работы выполнены в полном объёме, сумма выполнения меньше в связи с корректировкой объёмов в ходе выполнения работ, будет ДС к факту</t>
  </si>
  <si>
    <t>Работы выполняются, претензионная работа не требуется</t>
  </si>
  <si>
    <t>Работы выполняются</t>
  </si>
  <si>
    <t>Работы выполняются, факт выполнения 80%, претензионная работа не требуется</t>
  </si>
  <si>
    <t>КА еще не предоставил Вор на выполнение доп.работ</t>
  </si>
  <si>
    <t>Работы выполнени на 98%, претензионная работа не требуется, будет еще закрытие работ</t>
  </si>
  <si>
    <t>Работы выполнены, претензионная работа не требуется</t>
  </si>
  <si>
    <t>Работы завершены, нарушений нет, претензионная работа не требуется</t>
  </si>
  <si>
    <t>Работы выполняются, задержка в связи с отсутствием стройготовности, претензий нет</t>
  </si>
  <si>
    <t>работы по договору не окончены. В связи с дополнительными объемами работ планируемая дата закрытия договора - декабрь 2025.  новый договор на доп.работы на ЦЗК</t>
  </si>
  <si>
    <t>отсутствие сторительной готовности для проведения работ. Окончание монтажа газоходов и передача ВНХИ для монтажа ТИЗ 05.11.25. претензионная работа не требуется. Подрядчик выполняет работы</t>
  </si>
  <si>
    <t>КА самоустранился от выполнения работ, принято решение (выписка ЦЗК №85 от 12.11.25) о заключении прямого договора с субсубподрядчиком (ООО "Профрезерв")</t>
  </si>
  <si>
    <t>Проведена работа с КА по усилению темпов выполнения работ. Всё оборудование поставлено, СМР завршены на 90%, КА готовит документы для закрытия выполнения. Остаются работы по ПНР, в т.ч. по обучению персонала СибЭМ по эксплуатацции оборудования</t>
  </si>
  <si>
    <t>Работы выполнены на 98%, КА будет закрывать выполнение, срок выполнения работ затянут в связи с отсутствием стройготовности</t>
  </si>
  <si>
    <t>Работы не выполняются в связи с отсутствием оборудования поставки Заказчика (Приморской ГРЭС)</t>
  </si>
  <si>
    <t>Работы выполняются, согласовано ДС на увеличение объёмов и продление срока до 30.11.25</t>
  </si>
  <si>
    <t>Направлена претензия за непредоставление СМГ. Требуется претензионная работа за несоблюдение конечных сроков</t>
  </si>
  <si>
    <t>Работы не завершены,согласовано ДС на продление сроков до 28.11.25</t>
  </si>
  <si>
    <t>необходимо предоставть СЗ</t>
  </si>
  <si>
    <t>Нарушение имеется. Когда будет инициирована претензионная работа?</t>
  </si>
  <si>
    <t xml:space="preserve"> Выполнение комплекса работ по ремонту вспомогательного оборудования и элементов основного оборудования энергоблоков ст. № 3,6 Приморской ГРЭС, ремонтная программа</t>
  </si>
  <si>
    <t>С/З предоставлена, узнать в ЮУ на какой стадии подготовка претензии</t>
  </si>
  <si>
    <t>СИБЭРСИБЭМ-25/6540</t>
  </si>
  <si>
    <t>Строительно-монтажные работы по монтажу вспомогательного оборудования и сопрвождению пусконаладочных работ котельных агрегатов энегоблока № 5 и 9 Приморской ГРЭС.</t>
  </si>
  <si>
    <t>бл. 5,9</t>
  </si>
  <si>
    <t>с 01.08.2024 по 30.01.2025</t>
  </si>
  <si>
    <t>Выписка ЦЗК 66-СибЭМ от 05.09.2025 _7024</t>
  </si>
  <si>
    <t>Общество с ограниченной ответственностью"Комсомольскэнергомонтаж"</t>
  </si>
  <si>
    <t>СИБЭРСИБЭМ-25/6239</t>
  </si>
  <si>
    <t>Выполнение комплекса строительно-монтажных работ по устранению дефектов уплотнения потолочного экрана котельного агрегата энергоблока ст. № 8 Приморской ГРЭС</t>
  </si>
  <si>
    <t xml:space="preserve"> по 31.12.2025</t>
  </si>
  <si>
    <t>ВЫПИСКА ЦЗК 64-СИБЭМ ОТ 29.08.2025 _6542.</t>
  </si>
  <si>
    <t>karpunina@ooo-kem.ru</t>
  </si>
  <si>
    <t>ТОО "Карагандинский турбомеханический завод"</t>
  </si>
  <si>
    <t>Товарищество с ограниченной ответственностью «Карагандинский турбомеханический завод»</t>
  </si>
  <si>
    <t>СИБЭРСИБЭМ-25/5969</t>
  </si>
  <si>
    <t>Выполнение комплекса строительно-монтажных работ по восстановлению демонтированного оборудования системы ЭГСР паровой турбины энергоблока № 8 Приморской ГРЭС</t>
  </si>
  <si>
    <t>50% от общей стоимости Договора, в течение 10 (десяти) календарных дней с момента предоставления счета на оплату</t>
  </si>
  <si>
    <t>с 25.08.2025 по 08.09.2025</t>
  </si>
  <si>
    <t>Выписка ЦЗК 66-СибЭМ от 05.09.2025 (6702)</t>
  </si>
  <si>
    <t>Важенин Евгений Сергеевич</t>
  </si>
  <si>
    <t>ktmz@ktmz-krg.kz</t>
  </si>
  <si>
    <t>СИБЭРСИБЭМ-25/6830</t>
  </si>
  <si>
    <t>Выполнение комплекса работ по обслуживанию системы отопления блочных тепловых пунктов общежитий стройгородка Приморской ГРЭС</t>
  </si>
  <si>
    <t>30 %  в течение 5 к.д. с момента предоставления
 счета</t>
  </si>
  <si>
    <t>15 к.д. с момента оформления заявки</t>
  </si>
  <si>
    <t>Выписка ЦЗК №70 от 19.09.2025 (45923)</t>
  </si>
  <si>
    <t>АО "Фирма Энергозащита"</t>
  </si>
  <si>
    <t xml:space="preserve"> Акционерное общество "Фирма Энергозащита"</t>
  </si>
  <si>
    <t>7709046921</t>
  </si>
  <si>
    <t>СИБЭРСИБЭМ-25/6516</t>
  </si>
  <si>
    <t>аванс 5 000 000 руб. в течение 7 р.д. с момента подписания Договора.</t>
  </si>
  <si>
    <t>110 к.д. с момента подписания
договора</t>
  </si>
  <si>
    <t>Выписка ЦЗК №67 от 10.09.2025</t>
  </si>
  <si>
    <t>katek-ez@yandex.ru; ur@egz.ru</t>
  </si>
  <si>
    <t>СИБЭРСИБЭМ-25/6515</t>
  </si>
  <si>
    <t>аванс 3 000 000,00 руб. в
течение 5 р.д. с момента подписания договора и счета.</t>
  </si>
  <si>
    <t>с момента заключения договора, не позднее 04.12.2025</t>
  </si>
  <si>
    <t>Выписка ЦЗК №45 от 10.09.2025</t>
  </si>
  <si>
    <t>Нахтыгаль А.Л.</t>
  </si>
  <si>
    <t>СИБЭРСИБЭМ-25/6243</t>
  </si>
  <si>
    <t>выполнение комплекса строительно-монтажных работ по ремонту изоляции наклонных стволов ГЗШ К-8 энергоблока №8 Приморской ГРЭС</t>
  </si>
  <si>
    <t>21 календарный день на каждый ГЗШ с момента подписания уполномоченными представителями сторон акта приема-передачи строительной площадки для выполнения работ</t>
  </si>
  <si>
    <t>Выписка ЦЗК 64-СибЭМ от 29.08.2025 г (6891)</t>
  </si>
  <si>
    <t xml:space="preserve">svv@decor-pfp.com </t>
  </si>
  <si>
    <t>СИБЭРСИБЭМ-25/6108</t>
  </si>
  <si>
    <t xml:space="preserve"> Выполнение работ по нанесению антикоррозийной защиты и тепловой изоляции воздуховодов горячего воздуха энергоблока №3 Приморской ГРЭС</t>
  </si>
  <si>
    <t>с 01.09.2025 по 01.11.2025</t>
  </si>
  <si>
    <t>ВЫПИСКА ЦЗК№62-СИБЭМ ОТ 22.08.07.2025_5650</t>
  </si>
  <si>
    <t xml:space="preserve"> Гавриш Валерий Станиславович</t>
  </si>
  <si>
    <t>АО "КМУ Гидромонтаж"</t>
  </si>
  <si>
    <t>Акционерное общество «Красноярское монтажное управление «ГИДРОМОНТАЖ» (</t>
  </si>
  <si>
    <t>СИБЭРСИБЭМ-25/6692</t>
  </si>
  <si>
    <t>Строительно-монтажные работы  по монтажу металлоконструкций пристроя дымососного отделения энергоблока № 6</t>
  </si>
  <si>
    <t>52 961 554, 30</t>
  </si>
  <si>
    <t>ООО «КЭМ»</t>
  </si>
  <si>
    <t>Общество с ограниченной ответственностью «КОМСОМОЛЬСКЭНЕРГОМОНТАЖ»</t>
  </si>
  <si>
    <t>СИБЭРСИБЭМ-25/6577</t>
  </si>
  <si>
    <t>не более 90 календарных дней с момента
обеспечения строительной готовности и подписания уполномоченными представителями сторон Акта приема-передачи
строительной площадки</t>
  </si>
  <si>
    <t>Выписка ЦЗК № 67-СибЭМ от 10.09.2025</t>
  </si>
  <si>
    <t>office@ooo-kem.ru</t>
  </si>
  <si>
    <t>ООО "ПЭК"</t>
  </si>
  <si>
    <t>Общество с ограниченной ответственностью «ПромЭлектроКомплект»</t>
  </si>
  <si>
    <t>СИБЭРСИБЭМ-25/6517</t>
  </si>
  <si>
    <t>Выполнение комплекса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3 и № 6, ЦНС, БНС-1 Приморской ГРЭС</t>
  </si>
  <si>
    <t>бл. 3,6</t>
  </si>
  <si>
    <t>аванс 3 250 260,00 в течение 5 р.д. с момента подписания договора и счета</t>
  </si>
  <si>
    <t>ВЫПИСКА ЦЗК 69-СИБЭМ ОТ 17.09.2025 _7151</t>
  </si>
  <si>
    <t>pek111@inbox.ru</t>
  </si>
  <si>
    <t>СИБЭРСИБЭМ-25/5151</t>
  </si>
  <si>
    <t>выполнение комплекса строительно-монтажных работ по модернизации топки котлоагрегата КА-3А Приморской ГРЭС</t>
  </si>
  <si>
    <t xml:space="preserve">в течение 50 календарных дней с даты подписания уполномоченными представителями сторон акта приема-передачи строительной площадки </t>
  </si>
  <si>
    <t>Выписка ЦЗК 54-СибЭМ от 25.07.25_6111</t>
  </si>
  <si>
    <t xml:space="preserve">Общество с ограниченной ответственностью "Энергоинжиниринг" </t>
  </si>
  <si>
    <t>СИБЭРСИБЭМ-25/5820</t>
  </si>
  <si>
    <t>выполнение комплекса работ по ремонту вспомогательного оборудования и элементов основного оборудования энергоблоков ст. № 6 Приморской ГРЭС</t>
  </si>
  <si>
    <t>с момента подписания уполномоченными представителями сторон акта приема-передачи строительной площадки по 30.10.2025</t>
  </si>
  <si>
    <t>Выписка из протокола ЦЗК 73-СибЭМ от 01.10.2025 (Закупка 3020 Внесение изменений)</t>
  </si>
  <si>
    <t>office@ergc.ru</t>
  </si>
  <si>
    <t>ИП Татауров А.Г.</t>
  </si>
  <si>
    <t>Индивидуальный предприниматель Татауров</t>
  </si>
  <si>
    <t>СИБЭРСИБЭМ-25/7127</t>
  </si>
  <si>
    <t>Выполнение комплекс работ по нанесению антикоррозийной защиты, тепловой изоляции, обмуровки на оборудование энергоблока № 3 и № 6 Приморской ГРЭС</t>
  </si>
  <si>
    <t>Бл. 3,6</t>
  </si>
  <si>
    <t>Аванс в размере 3000000 в течение 5 рабочих дней с даты подписания договора, Аванс в размере 5000000 в течение 15 рабочих дней, Аванс в размере 5000000 в течение 20 рабочих дней, Аванс в размере 5000000 в течение 25 рабочих дней</t>
  </si>
  <si>
    <t>с момента подписания договора по 30.11.2025</t>
  </si>
  <si>
    <t>Выписка из протокола ЦЗК 76-СибЭМ от 10.10.2025 (Закупка 7534-2025 )</t>
  </si>
  <si>
    <t>sasha19899891@yandex.ru</t>
  </si>
  <si>
    <t>ООО "СИБПРОМ"</t>
  </si>
  <si>
    <t>Общество с ограниченной ответственностью  "СИБПРОМ"</t>
  </si>
  <si>
    <t>СИБЭРСИБЭМ-25/7126</t>
  </si>
  <si>
    <t xml:space="preserve"> Выполнение комплекса строительно-монтажных работ на Приморской ГРЭС</t>
  </si>
  <si>
    <t>не позднее 54 рабочих дней со дня мобилизации персонала на строительную площадку</t>
  </si>
  <si>
    <t>Выписка ЦЗК 76-СибЭМ от 10.10.25_7132</t>
  </si>
  <si>
    <t xml:space="preserve"> truhin.an@sibprom-krsk.ru </t>
  </si>
  <si>
    <t>СИБЭРСИБЭМ-25/6846</t>
  </si>
  <si>
    <t>Выполнение комплекса строительно-монтажных работ по нанесению антикоррозионной защиты и монтажу тепловой изоляции газоходов энергоблока № 3 Приморской ГРЭС</t>
  </si>
  <si>
    <t>аванс в размере 10% от Цены Договора в течение 10 (десяти) календарных дней с момента предоставления Субподрядчиком оригинала банковской гарантии</t>
  </si>
  <si>
    <t xml:space="preserve">начало с момента передачи материала и готовой строительной площадки по акту приема-передачи, окончание: По нанесению антикоррозийной защиты не более 60 календарных дней ;  По монтажу тепловой изоляции не более 90 календарных дней </t>
  </si>
  <si>
    <t>ВЫПИСКА ИЗ ПРОТОКОЛА ЦЗК 70-СИБЭМ ОТ 19.09.2025 (ЗАКУПКА 6663-2025-И</t>
  </si>
  <si>
    <t>ООО СП "МЭН"</t>
  </si>
  <si>
    <t>ООО Специализированное предприятие «М-энергоналадка»</t>
  </si>
  <si>
    <t xml:space="preserve"> СИБЭРСИБЭМ-25/6601</t>
  </si>
  <si>
    <t xml:space="preserve">Выполнение комплекса электромонтажных работ по модернизации электрооборудования, раскладки силовых и контрольных кабелей, замене КИПиА и сопровождения пусконаладочных работ на энергоблоке № 3 и № 6, ЦНС и БНС-1, а также устранение дефектов выполненных электромонтажных работ на энергоблоке № 5 и № 9 Приморской ГРЭС. </t>
  </si>
  <si>
    <t>Бл. 5,9</t>
  </si>
  <si>
    <t>аванс  5 000 000,00 руб. в течение 5 р.д. с момента
подписания договора</t>
  </si>
  <si>
    <t xml:space="preserve">
не позднее 20.11.2025 с даты подписания договора.</t>
  </si>
  <si>
    <t>Выписка ЦЗК 76-СибЭМ от 11.10.2025_В20 (7216)</t>
  </si>
  <si>
    <t xml:space="preserve"> Нахтыгаль Александр Леонидович </t>
  </si>
  <si>
    <t>120tnd@menergonaladka.ru,
spmenergo@menergonaladka.ru</t>
  </si>
  <si>
    <t>СИБЭРСИБЭМ-25/6518</t>
  </si>
  <si>
    <t>Бл.6</t>
  </si>
  <si>
    <t>аванс  15% от Цены Договора,  в течение 5
(пяти) рабочих дней с момента предоставления Субподрядчиком оригинала банковской гарантии</t>
  </si>
  <si>
    <t>Начало: с момента получения строительной готовности Завершение - не более 120 к.д. с момента получения строительной готовности</t>
  </si>
  <si>
    <t>Карлов В.Ю</t>
  </si>
  <si>
    <t>ООО "Нордвег Инжиниринг"</t>
  </si>
  <si>
    <t>Общество с ограниченной ответственностью "Нордвег Инжиниринг"</t>
  </si>
  <si>
    <t>СИБЭРСИБЭМ-25/7129</t>
  </si>
  <si>
    <t>Выполнение комплекса работ по проточке вертикального разъема ЦНД турбоагрегата ст. № 6 Приморской ГРЭС под установку корпусов каминных уплотнений</t>
  </si>
  <si>
    <t>не более 20 календарных дней с момента заключения договора</t>
  </si>
  <si>
    <t>Выписка ЦЗК 74-СибЭМ от 03.10.25_7503</t>
  </si>
  <si>
    <t xml:space="preserve">Тел. +7 (812) 302-62-08
E-mail: engineering@nordweg.ru
</t>
  </si>
  <si>
    <t>СИБЭРСИБЭМ-25/6920</t>
  </si>
  <si>
    <t xml:space="preserve">Выполнение комплекса строительно-монтажных работ по нанесению антикоррозионной защиты и монтажу тепловой изоляции газоходов энергоблока № 3 Приморской ГРЭС </t>
  </si>
  <si>
    <t>аванс 5 000 000 руб.  в течение 7 р.д. с момента подписания Договора.</t>
  </si>
  <si>
    <t>120 р.д. с момента подписания
договора</t>
  </si>
  <si>
    <t>Выписка ЦЗК №70 от 19.09.2025</t>
  </si>
  <si>
    <t>АО "ХРМК"</t>
  </si>
  <si>
    <t xml:space="preserve"> Акционерное общество "ХРМК"</t>
  </si>
  <si>
    <t>СИБЭРСИБЭМ-25/7593</t>
  </si>
  <si>
    <t xml:space="preserve">Выполнение пусконаладочных работ электрооборудования энергоблоков № 3, 6 Приморской ГРЭС 
</t>
  </si>
  <si>
    <t>с 15.10.2025 по 25.12.2025</t>
  </si>
  <si>
    <t>Выписка ЦЗК 77-СибЭМ от 15.10.2025_7697</t>
  </si>
  <si>
    <t>Щукин А.А.</t>
  </si>
  <si>
    <t>energorem@rushydro.ru</t>
  </si>
  <si>
    <t>СИБЭРСИБЭМ-25/7358</t>
  </si>
  <si>
    <t xml:space="preserve">Выполнение комплекса строительно-монтажных работ по монтажу дымососов котлоагрегата энергоблока № 7 Приморской ГРЭС
</t>
  </si>
  <si>
    <t>20% от цены договора в течение 10 р.д. с момента преоставления счета на оплату</t>
  </si>
  <si>
    <t xml:space="preserve">в течеие 45 к.д. момента предоставления строй готовности </t>
  </si>
  <si>
    <t>Выписка из протокола ЦЗК 76-СибЭМ от 10.10.2025 (Закупка 6860-2025)</t>
  </si>
  <si>
    <t>СИБЭРСИБЭМ-25/7453</t>
  </si>
  <si>
    <t>Выполнение  химического контроля при проведении водно-химической очистки и пароводокислородной пассивации, пусконаладочных работ по водно-химическому режиму (ВХР) на энергоблоке ст. № 3 Приморской ГРЭС</t>
  </si>
  <si>
    <t xml:space="preserve"> с 31.10.2025 по 16.01.2026</t>
  </si>
  <si>
    <t>Выписка ЦЗК 77-СибЭМ от 15.10.2025_7529</t>
  </si>
  <si>
    <t>Щукин Андрей Александрович</t>
  </si>
  <si>
    <t xml:space="preserve"> СИБЭРСИБЭМ-25/7832</t>
  </si>
  <si>
    <t xml:space="preserve">Выполнение комплекса электромонтажных работ по модернизации электрооборудования, раскладки силовых и контрольных кабелей, замене КИПиА и сопровождение пусконаладочных работ на энергоблоке № 3 и № 6, ЦНС, БНС-1 Приморской ГРЭС </t>
  </si>
  <si>
    <t>с 17.11.2025 по 31.12.2025</t>
  </si>
  <si>
    <t>Выписка ЦЗК 81-СибЭМ от 29.10.2025_В31 (6939)</t>
  </si>
  <si>
    <t xml:space="preserve">оборотов по Акту сверки нет, контроль выполнения </t>
  </si>
  <si>
    <t>выплачен аванс 23.10.2025 на сумму 5 000 000</t>
  </si>
  <si>
    <t>выплачен аванс 20.11.2025 на сумму 13 252 712,38</t>
  </si>
  <si>
    <t>оборотов по Акту сверки нет, когда передана площадка?</t>
  </si>
  <si>
    <t>выплачен аванс 30.10.2025 на сумму 5 000 000</t>
  </si>
  <si>
    <t>согласно Акту от 20.11.2025, работы выполнены на сумму 5 291 616, что с исполнением договора?</t>
  </si>
  <si>
    <t>выплачены три аванса на сумму 13 000 000, что с выполнением работ?</t>
  </si>
  <si>
    <t>согласно Акту от 05.11.2025, работы выполнены на сумму 5 196 960, что с исполнением договора?</t>
  </si>
  <si>
    <t>когда будет передана строительная площадка?</t>
  </si>
  <si>
    <t>согласно Акту от 25.09.2025, работы выполнены на сумму 26 049 310,52, что с исполнением договора?</t>
  </si>
  <si>
    <t>выплачен аванс 23.10.2025 на сумму 3 250 260,00</t>
  </si>
  <si>
    <t>аванс 3 250 260,00 в течение 5 р.д. с момента подписания договора и счета,  срок исполнения с 24.09.2025 по 25.12.2025</t>
  </si>
  <si>
    <t>невыполнение 3 352 107,14, будет ли еще выполнение работ, либо ДС к факту? Есть ли нарушение со стороны КА?</t>
  </si>
  <si>
    <t>контроль за сроками по выполнению работ!</t>
  </si>
  <si>
    <t xml:space="preserve">оборотов по Акту сверки нет, что с  выполнением работ? Есть ли нарушение КА? </t>
  </si>
  <si>
    <t>Когда передана площадка для выполнения работ? Сроки нарушены?</t>
  </si>
  <si>
    <t>выплачен аванс 16.10.2025 на сумму 3 000 000, что с выполнением работ?</t>
  </si>
  <si>
    <t>выплачен аванс 16.10.2025 на сумму 5 000 000, что с выполнением работ?</t>
  </si>
  <si>
    <t>исполнен Акт выполненных работ от 22.10.2025 на сумму 800 001,00</t>
  </si>
  <si>
    <t>выплачен аванс 16.10.2025 на сумму 1 626 000, что с выполнением работ?</t>
  </si>
  <si>
    <t>ДС № 1 к СИБЭРСИБЭМ-25/2244</t>
  </si>
  <si>
    <t>Дополнительный объем работ без изм сроков</t>
  </si>
  <si>
    <t xml:space="preserve"> Соглашение о переводе долга на Энергосилу (2141480,25 руб)</t>
  </si>
  <si>
    <t>Соглашение №6 о переводе долга на Энергосилу (6137615,00 руб)</t>
  </si>
  <si>
    <t xml:space="preserve"> 14.11.2025</t>
  </si>
  <si>
    <t>ДС №2  СИБЭРСИБЭМ-25/2246</t>
  </si>
  <si>
    <t>Продление срока до 28.11.2025</t>
  </si>
  <si>
    <t xml:space="preserve"> по 28.11.2025</t>
  </si>
  <si>
    <t>цена договора 660 946,18‬,  выполнение согласно Акту от 25.10.2025 на 549 832,61 , что с выполнением работ?</t>
  </si>
  <si>
    <t>Запущена на согласование СЗ на инициацию ДС на доп. работы по устранению последствий затопления золой и на продление сроков до 10.12.2025 г. (СЭД, проект 2025-291461). Работы не завершены по причине затопления емкости (не по вине КА)</t>
  </si>
  <si>
    <t>ноябрь</t>
  </si>
  <si>
    <t xml:space="preserve">Проект ДС № 9 на согласовании в СЭД, продлен срок действия до 10.12.2025 </t>
  </si>
  <si>
    <t>СИБЭРСИБЭМ-25/8181</t>
  </si>
  <si>
    <t>Выполнение комплекса работ по монтажу обмуровки элементов котлоагрегата ст. № 6 Приморской ГРЭС</t>
  </si>
  <si>
    <t>3 000 000 руб. в теч. 5 р.д.</t>
  </si>
  <si>
    <t>25.11.2025 по 25.12.2025</t>
  </si>
  <si>
    <t>Выписка ЦЗК № 85 от 12.11.2025</t>
  </si>
  <si>
    <t>info-kxc@mail.ru</t>
  </si>
  <si>
    <t>ООО "Профрезерв"</t>
  </si>
  <si>
    <t>Общество с ограниченной ответственностью "Профрезерв"</t>
  </si>
  <si>
    <t>СИБЭРСИБЭМ-25/8193</t>
  </si>
  <si>
    <t xml:space="preserve"> Выполнение комплекса строительно-монтажных работ по монтажу обмуровки и тепловой изоляции котлоагрегата ст. № 10 энергоблока № 6 Приморской ГРЭС.</t>
  </si>
  <si>
    <t>60 к.д. с момента обеспечения строительной готовности</t>
  </si>
  <si>
    <t>ВЫПИСКА ЦЗК 85-СИБЭМ ОТ 12.11.25</t>
  </si>
  <si>
    <t xml:space="preserve">profreserv.krs@mail.ru </t>
  </si>
  <si>
    <t>невыполнение 3 525 652,25, Работы выполнены не в полном объеме? Принятые работы не соответствуют цене договора. Срок нарушен, требуется ли ведение претензионной работы? Когда будет заключено ДС к факту?</t>
  </si>
  <si>
    <t>невыполнение на сумму 176 409,83,  будет ДС к факту?</t>
  </si>
  <si>
    <t xml:space="preserve"> невыполнение 483 447,22.  Есть ли нарушение КА? Будет ДС к факту, продление,требуется ли претензионная работа? Когда будет заключено ДС к факту?</t>
  </si>
  <si>
    <t>невыполнение 1 112 441,49, ДС к факту</t>
  </si>
  <si>
    <t xml:space="preserve"> невыполнение 8 918 646,27        Есть ли нарушение КА? Будет продление или ДС к факту?  Прошу пояснить </t>
  </si>
  <si>
    <t>ДС № 3 к СИБЭРСИБЭМ-24/5066</t>
  </si>
  <si>
    <t>Выполнение дополнительных работ, продление сроков до 30.12.2025</t>
  </si>
  <si>
    <t xml:space="preserve"> Савуляк  А.Н.</t>
  </si>
  <si>
    <t>до 30.12.2025</t>
  </si>
  <si>
    <t>срок по 30.09.2025, цена договора 33 627 229,23, работы приняты согласно Акту от 14.07.2025 на сумму 2 227 309,8, когда будет заключено ДС о продлении?</t>
  </si>
  <si>
    <t>ДС №1 к СИБЭРСИБЭМ-25/2992</t>
  </si>
  <si>
    <t>по 30.10.2025</t>
  </si>
  <si>
    <t>Выписка ЦЗК 78 от 17.10.2025 (1438-2025ДС)</t>
  </si>
  <si>
    <t>Юридический отдел Гидромонтаж &lt;pravo_gidrom@mail.ru&gt;</t>
  </si>
  <si>
    <t>срок по 30.10.2025, цена договора 122 877 040,14 выплачен аванс 17 000 000,00, невыполнение на сумму 44 133 144,37 что с выполнением работ?</t>
  </si>
  <si>
    <t>когда передана строй площадка для выполнения работ? цена договора 20 153 350,56, согласно Акту работы выполнены на 4 985 084,46 , когда будет предоставлена ИД?</t>
  </si>
  <si>
    <t>цена договора 141 893 441,68, работы выполнены на сумму 26 279 550,54, что с выполнением работ?</t>
  </si>
  <si>
    <t>цена договора 141 893 441,68, работы выполнены на сумму 26 279 550,54, срок выполнения прошел, что с выполнением работ? Требуется ли претензионная работа? Когда будет инициировано ДС о продлении сроков?</t>
  </si>
  <si>
    <t>Работы не завершены, будет ещё закрытие выполнения и ДС на продление. Пртензионная работа пока не требуется.</t>
  </si>
  <si>
    <t>Невыполнение в связи с незавершенными работами, будет ещё закрытие выполнения. Претензионная работа пока не требуется.</t>
  </si>
  <si>
    <t>Работы выполняются. Направлено письмо Исх-6.19.18-131143-25-0-0 от 08.12.2025 о нарушении договорных обязательств.</t>
  </si>
  <si>
    <t>Необходима претензионная работа за нарушение конечного срока работ</t>
  </si>
  <si>
    <t>Необходима претензионная работа по нарушению конечного срока и по возврату аванса, и расторжение договора</t>
  </si>
  <si>
    <t>Работы выполняются, по бл. 6 длительное время не было стройготовности.</t>
  </si>
  <si>
    <t>Загружена на согласование в СЭД СЗ на инициацию ДС на продление сроков до 20.12.25</t>
  </si>
  <si>
    <t>Работы не выполняются, календарный график выполнения работ не предоставлен.</t>
  </si>
  <si>
    <t>Ведется согласование альбомов технических решений. Выполнение СМР перенесено на 2026 год. Претензионная работа  не требуется</t>
  </si>
  <si>
    <t>Работы выполняются. КА не предоставил документы для закрытия выполнения. Претензионная работа пока не требуется.</t>
  </si>
  <si>
    <t>Работы выполняются, претензионная работа пока не требуется.</t>
  </si>
  <si>
    <t>Работы по факту выполнены. КА подал документы для закрытия выполнения.</t>
  </si>
  <si>
    <t>Работы выполнены в полном объёме, произведён расчёт (был неверно указан код КА в sap). Претензионная работа не требуется.</t>
  </si>
  <si>
    <t>Работы выполняются. Претензионная работа не требуется</t>
  </si>
  <si>
    <t>Работы не выполняются в связи с отсутствием стройготовности (не завершен монтаж систем)</t>
  </si>
  <si>
    <t xml:space="preserve">По информации от куратора работы завершены без нарушения сроков. </t>
  </si>
  <si>
    <t>КА к работам не приступал. Работы выполнены собственными силами.</t>
  </si>
  <si>
    <t>Работы выполняются, выполнены на 80%. Претензионная работа не требуется.</t>
  </si>
  <si>
    <t>Работы выполняются, заключено ДС на доп.объёмы, претензионная работа не требуется</t>
  </si>
  <si>
    <t>Работы выполняются, документы для закрытия выполнения КА еще не предоставлял.</t>
  </si>
  <si>
    <t>Работы завершены. Претензионная работа не требуется.</t>
  </si>
  <si>
    <t>Работы завершены. Задержка сроков в связи с частичным отсутствием строительной готовности</t>
  </si>
  <si>
    <t>Рамочный договор, работы закрываются по чел.-часам  по факту отработанного времени</t>
  </si>
  <si>
    <t>Работы выполняются, АКЗ по 3Б выполнена на 60%, теплоизоляция на 50%. Работы разделены между двумя субподрядчиками (АО "Фирма Энергозащита")</t>
  </si>
  <si>
    <t>Работы выполняются, определяются объёмы дополнительных работ для заключения ДС. Претензионная работа не требуется.</t>
  </si>
  <si>
    <t>Работы выполняются (разделены между двумя субподрядчиками, с ООО "Декор")</t>
  </si>
  <si>
    <t>Рамочный договор с закрытием по чел.-часам по факту выполненных работ. Работы выполняются. Документы для закрытия еще не предоставлялись.</t>
  </si>
  <si>
    <t>Площака не передана, энегоблок 7 в модернизацию ещё не передан станцией</t>
  </si>
  <si>
    <t>Работы пока не выполняются, нет стройготовности</t>
  </si>
  <si>
    <t>Рамочный договор, закрытие по чел.-часам по факту выполненных работ. К работам КА не приступал.</t>
  </si>
  <si>
    <t xml:space="preserve">Работы по основному договору завршершены. Выполняются дополнительные работы по доп.соглашению, в соотвии со сроками </t>
  </si>
  <si>
    <t>строительная готовность появилась в ноябре. Подрядчик зашел на работы. Претензионная работа не требуется. Загружена на согласование в СЭД СЗ на инициацию ДС на доп.работы по устройству лесов.</t>
  </si>
  <si>
    <t>Информацию о соответствии объёмов ДС с фактом куратор пока не предоставил.</t>
  </si>
  <si>
    <t>работы выполнены и приняты. Продление ДС нет необходимости. Необходимо ДС к факту.</t>
  </si>
  <si>
    <t>Работы выполняются. КА направил письмо о заключении ДС на дополнительные работы. Претензионная работа не требуется</t>
  </si>
  <si>
    <t>Претензионная работа не требуется</t>
  </si>
  <si>
    <t>Работы выполнены, ИД на проверку до сих пор не предоставлена.</t>
  </si>
  <si>
    <t>КА ушёл с площадки. Требуется пртетензионная работа за срыв сроков.</t>
  </si>
  <si>
    <t>цена договора 73 863 505,89, работы приняты согласно Акту от 25.12.2025 на сумму 62 380 511,21, невыполнение 11 482 994,68 прошу пояснить, почему невыполнение по договору? Есть-ли необходимость в ведении претензионной работе, либо расторжение или оформление д/с к факту?</t>
  </si>
  <si>
    <t>ДС № 2 к СИБЭРСИБЭМ-22/2244</t>
  </si>
  <si>
    <t xml:space="preserve">Дополнительный объем работ </t>
  </si>
  <si>
    <r>
      <t xml:space="preserve">аванс 30% без БГ. Срок выполнения - </t>
    </r>
    <r>
      <rPr>
        <b/>
        <sz val="11"/>
        <color rgb="FFFF0000"/>
        <rFont val="Calibri"/>
        <family val="2"/>
        <charset val="204"/>
        <scheme val="minor"/>
      </rPr>
      <t xml:space="preserve">по 19.11.2025, аванс не отработан!? прошу пояснить, почему нет выполнения по договору? На какой стадии рассмотрение претензии? </t>
    </r>
  </si>
  <si>
    <t xml:space="preserve">выплачен аванс 4 186 437,06, прошу пояснить, почему нет выполнения по договору? Срок договора истек, что с неотработанным авансом?  Когда будет направлена претензия? </t>
  </si>
  <si>
    <t>30% предоплата, срок выполнения работ 180 календарных дней с момента передачи строительной
площадки. Когда будут выполнены работы и предоставлена ИД?</t>
  </si>
  <si>
    <t>выплачен аванс 31 519 557,36, срок выполнения работ 98 дней, приступил подрядчик к выполнению работ? Когда будут выполнены работы и предоставлена ИД?</t>
  </si>
  <si>
    <t>ДС № 1 СИБЭРСИБЭМ-25/5779</t>
  </si>
  <si>
    <t>Дополнительный объем работ, срок до 15.11.2025</t>
  </si>
  <si>
    <t>с 28.08.2025 по 15.11.2025</t>
  </si>
  <si>
    <t>Выписка ЦЗК 77-СибЭМ от 15.10.2025_6362</t>
  </si>
  <si>
    <t>ДС №2  СИБЭРСИБЭМ-25/6677</t>
  </si>
  <si>
    <t xml:space="preserve"> 29.12.2025</t>
  </si>
  <si>
    <t>Увеличение стоимости (увеличение кол-ва ч/часов)</t>
  </si>
  <si>
    <t>по 30.12.2025</t>
  </si>
  <si>
    <t>ВЫПИСКА ИЗ ПРОТОКОЛА ЦЗК 95-СИБЭМ ОТ 17.12.2025 (ЗАКУПКА3020-2025-ИП СИБЭМ ДС2)</t>
  </si>
  <si>
    <t>ДС № 1 к СИБЭРСИБЭМ-25/5835</t>
  </si>
  <si>
    <t>Корректировка объемов (исключение части работ+дополнительные работы)</t>
  </si>
  <si>
    <t>Выписка из протокола ЦЗК 81-СибЭМ от 29.10.2025 (Закупка 3020-2025), Выписка из протокола ЦЗК 84-СибЭМ от 07.11.2025 (Закупка3020-2025-ИП СибЭМ ДС1)</t>
  </si>
  <si>
    <t>ДС №2  СИБЭРСИБЭМ-25/5835</t>
  </si>
  <si>
    <t xml:space="preserve"> Включение дополнительных шифров без увеличения цены договора</t>
  </si>
  <si>
    <t>с 28.11.2025 по 30.01.2026</t>
  </si>
  <si>
    <t>ВЫПИСКА ЦЗК 89-СИБЭМ ОТ 26.11.25_3020</t>
  </si>
  <si>
    <t>ООО "СМЦ"</t>
  </si>
  <si>
    <t>СИБЭРСИБЭМ-25/7073</t>
  </si>
  <si>
    <t>Выписка из протокола ЦЗК 73-СибЭМ от 01.10.2025 (Закупка 3020,3097 ЕИ)</t>
  </si>
  <si>
    <t>СИБЭРСИБЭМ-25/7074</t>
  </si>
  <si>
    <t xml:space="preserve"> СП ООО "SHTET"</t>
  </si>
  <si>
    <t xml:space="preserve"> СИБЭРСИБЭМ-25/9085</t>
  </si>
  <si>
    <t xml:space="preserve"> Комплекс работ по ремонту турбоагрегата энергоблока ст. № 5 Приморской ГРЭС</t>
  </si>
  <si>
    <t xml:space="preserve"> Ремонтная программа, ПримГРЭС</t>
  </si>
  <si>
    <t xml:space="preserve"> по 28.02.2026</t>
  </si>
  <si>
    <t>ВЫПИСКА ЦЗК 94-СИБЭМ ОТ 12.12.25_8503</t>
  </si>
  <si>
    <t xml:space="preserve"> Фахрутдинов А.Х.</t>
  </si>
  <si>
    <t>Выполнение комплекса работ по ревизии и ремонту ЗРА энергоблоков ст. № 3,6 Приморской ГРЭС</t>
  </si>
  <si>
    <t>Соглашение №8  об уступке права СИБЭРСИБЭМ-24/5702</t>
  </si>
  <si>
    <t>Соглашение № 8 об уступке права требования по договору № СИБЭРСИБЭМ-24/5702 от 14.02.2025 г.</t>
  </si>
  <si>
    <t xml:space="preserve">Соглашение №9 о переводе долга на Энергосилу </t>
  </si>
  <si>
    <t xml:space="preserve"> Соглашение №9 о переводе долга на Энергосилу (14361454,27)</t>
  </si>
  <si>
    <t>Соглашение №10 об уступке</t>
  </si>
  <si>
    <t>Соглашение о переводе долга на Энергосилу (7912267,51)</t>
  </si>
  <si>
    <t>ДС №1 к СИБЭРСИБЭМ-25/1784</t>
  </si>
  <si>
    <t>Дополнительный объем работ, изменение формулировки НДС</t>
  </si>
  <si>
    <t>60 к.д. с момента передачи стройплощадки</t>
  </si>
  <si>
    <t xml:space="preserve">Выписка ЗК 112 СибЭМ от 18.12.2025 (2695) </t>
  </si>
  <si>
    <t>ДС №2 к  СИБЭРСИБЭМ-25/2992</t>
  </si>
  <si>
    <t xml:space="preserve"> с 01.10.2025 по 30.10.2025</t>
  </si>
  <si>
    <t>ВЫПИСКА ЦЗК 92-СИБЭМ ОТ 05.12.25_1438</t>
  </si>
  <si>
    <t>smeta2@gidrom24.ru</t>
  </si>
  <si>
    <t>ДС № 1 к СИБЭРСИБЭМ-25/2827</t>
  </si>
  <si>
    <t xml:space="preserve">Продление сроков до 28.02.2026 </t>
  </si>
  <si>
    <t>С 10.06.2025 по 28.02.2026</t>
  </si>
  <si>
    <t>Выписка ЦЗК 93-СибЭМ от 10.12.25_3969</t>
  </si>
  <si>
    <t>ДС № 1 к СИБЭРСИБЭМ-25/5294</t>
  </si>
  <si>
    <t>Корректировка рабочей документации, увеличение суммы договора</t>
  </si>
  <si>
    <t>ВЫПИСКА ЦЗК 80-СИБЭМ ОТ 24.10.2025</t>
  </si>
  <si>
    <t xml:space="preserve">ДС №1 к Договору СИБЭРСИБЭМ-25/6577 </t>
  </si>
  <si>
    <t>Выписка ЦЗК № 85-СибЭМ от 12.11.2025</t>
  </si>
  <si>
    <t>СИБЭРСИБЭМ-25/8301</t>
  </si>
  <si>
    <t>Выполнение комплекса строительно-монтажных работ по монтажу воздуховодов горячего воздуха энергоблока №3 Приморской ГРЭС</t>
  </si>
  <si>
    <t>21 к.д. с момента заключения договора</t>
  </si>
  <si>
    <t>Выписка ЦЗК от 12.11.2025 (8065-2025)</t>
  </si>
  <si>
    <t xml:space="preserve">Общество с ограниченной Ответственностью «ИНКОМ» </t>
  </si>
  <si>
    <t>СИБЭРСИБЭМ-25/8256</t>
  </si>
  <si>
    <t xml:space="preserve">Выполнение комплекса строительно-монтажных работ по монтажу системы вентиляции помещения АГП (пом. № 65) энергоблока № 3 Приморской ГРЭС </t>
  </si>
  <si>
    <t>не более 40 (сорока) календарных дней с момента заключения договора</t>
  </si>
  <si>
    <t>ВЫПИСКА ЦЗК №88 от 21.11.2025</t>
  </si>
  <si>
    <t>Комков Александр Иванович</t>
  </si>
  <si>
    <t>ООО "МСК"</t>
  </si>
  <si>
    <t>Общество с ограниченной Ответственностью "Монтажно-строительная компания"</t>
  </si>
  <si>
    <t>СИБЭРСИБЭМ-25/8255</t>
  </si>
  <si>
    <t>Выполнение комплекса строительно-монтажных работ по технологическому оборудованию дробильного корпуса топливоподачи 2 ввода по замене молотковой дробилки МД 2А1 Приморской ГРЭС</t>
  </si>
  <si>
    <t>с 31.10.2025 по 31.12.2025</t>
  </si>
  <si>
    <t>Выписка ЗК №102 от 14.11.2025</t>
  </si>
  <si>
    <t>Старченко Алексей Петрович</t>
  </si>
  <si>
    <t>info@mscom.su</t>
  </si>
  <si>
    <t xml:space="preserve"> Акционерное общество "Красноярское Монтажное Управление"Гидромонтаж"</t>
  </si>
  <si>
    <t>melnikli@gidrom24.ru</t>
  </si>
  <si>
    <t>СИБЭРСИБЭМ-25/8686</t>
  </si>
  <si>
    <t>выполнение комплекса строительно-монтажных работ по обмуровке и теплоизоляции элементов котлоагрегатов № 3А энергоблока № 3 Приморской ГРЭС</t>
  </si>
  <si>
    <t xml:space="preserve"> в течение 30 кд с момента передачи строй площадки</t>
  </si>
  <si>
    <t>Выписка ЦЗК 91-СибЭМ от 03.12.2025_8398</t>
  </si>
  <si>
    <t>ООО "КЭР"</t>
  </si>
  <si>
    <t xml:space="preserve">Общество с ограниченной ответственностью "Комплексные Энергетические Решения" </t>
  </si>
  <si>
    <t>СИБЭРСИБЭМ-25/8570</t>
  </si>
  <si>
    <t>Выполнение комплекса пусконаладочных работ электрооборудования энергоблоков № 3, 6 Приморской ГРЭС</t>
  </si>
  <si>
    <t>бл. 3, 6</t>
  </si>
  <si>
    <t xml:space="preserve">аванс в размере 1 000 000 руб. в течение 5 рабочих дней с момента подписания договора </t>
  </si>
  <si>
    <t>с момента заключения договора не позднее 27.12.2025</t>
  </si>
  <si>
    <t>Выписка ЦЗК 89 от 26.11.2025_8330</t>
  </si>
  <si>
    <t>dieva.m@energy-solution.ru</t>
  </si>
  <si>
    <t>Общество c Ограниченной Ответственностью "Декор"</t>
  </si>
  <si>
    <t>СИБЭРСИБЭМ-25/8966</t>
  </si>
  <si>
    <t xml:space="preserve"> Выполнение комплекса строительно-монтажных работ по обмуровке и теплоизоляции элементов котлоагрегатов № 3А, 3Б энергоблока № 3 Приморской ГРЭС</t>
  </si>
  <si>
    <t xml:space="preserve"> с 12.12.2025 по 15.02.2026</t>
  </si>
  <si>
    <t>ВЫПИСКА ЦЗК 92-СИБЭМ ОТ 05.12.2025_8327</t>
  </si>
  <si>
    <t xml:space="preserve"> Гавриш Валерий Станиславович </t>
  </si>
  <si>
    <t>СИБЭРСИБЭМ-25/8237</t>
  </si>
  <si>
    <t xml:space="preserve">Выполнение комплекса строительно-монтажных работ по монтажу газоходов энергоблока №3 Приморской ГРЭС 
</t>
  </si>
  <si>
    <t>не более 21 календарного дня. с момента заключения Договора</t>
  </si>
  <si>
    <t>Выписка ЦЗК 41-СибЭМ от 09.06.2021 (КрФ) услуга</t>
  </si>
  <si>
    <t>Увеличение стоимости договора (ЕИР) Выписка КЗ №7 от 07.07.2025</t>
  </si>
  <si>
    <t xml:space="preserve"> срок исполнения не позднее 31.12.2025 г.</t>
  </si>
  <si>
    <t>цена договора составляет 508 296 371,20 , работы приняты согласно Акту от 15.12.2025 на сумму 151 743 723,24,  есть ли нарушение по срокам?</t>
  </si>
  <si>
    <t>цена договора составляет 739 059 928,52 работы приняты согласно Акту от 15.12.2025 на сумму 394 517 466,26</t>
  </si>
  <si>
    <t xml:space="preserve"> срок исполнения не позднее 31.10.2025 г.</t>
  </si>
  <si>
    <t xml:space="preserve">срок исполнения по 01.11.2025 </t>
  </si>
  <si>
    <t>цена договора 119 452 680,91 согласно Акту выполненных работ от 12.12.2025 работы приняты на сумму 93 211 707,90</t>
  </si>
  <si>
    <t xml:space="preserve">срок исполнения по 31.12.2025 </t>
  </si>
  <si>
    <t xml:space="preserve">ДС № 1 к СИБЭРСИБЭМ-25/158 </t>
  </si>
  <si>
    <t>с 22.08.2025 по 01.11.2025</t>
  </si>
  <si>
    <t>Выписка из Протокола КЗ 9 от 11.09.2025 заочн_В2</t>
  </si>
  <si>
    <t>Ревина КЭМ &lt;revina@ooo-kem.ru&gt;</t>
  </si>
  <si>
    <t>цена договора  926 972 511,77 срок действия по 01.11.2025 работы выполнены согласно Акту от 16.12.2025 на сумму  896 242 682,88, будет полностью выполнение по договору?</t>
  </si>
  <si>
    <t>цена договора 184 689 345,85, Выплачено 23 468 934,58,  работы выполняются?</t>
  </si>
  <si>
    <t>срок исполнения по 01.11.2025</t>
  </si>
  <si>
    <t>ДС №1 СИБЭРСИБЭМ-25/3469</t>
  </si>
  <si>
    <t xml:space="preserve"> 15.07.2025</t>
  </si>
  <si>
    <t>Корректировка реквизитов КА</t>
  </si>
  <si>
    <t>действующий по 28.02.2026</t>
  </si>
  <si>
    <t>цена договора 230 281 160,31 выплачен аванс 10 000 000, работы приняты согласно Акту от 19.12.2025 на сумму 88 643 555,86 что с выполнением работ?</t>
  </si>
  <si>
    <t>срок исполнения по 30.11.2025</t>
  </si>
  <si>
    <t xml:space="preserve"> срок выполнения  по 31.12.2025</t>
  </si>
  <si>
    <t>срок выполнения  по 31.12.2025</t>
  </si>
  <si>
    <t>цена договора 53 132 366,27  работы приняты на сумму 13 217 641,34, что с выполнением работ?</t>
  </si>
  <si>
    <t>цена договора 35 992 725,35, работы приняты на сумму 6 781 802,34, что с выполнением работ? Есть-ли необходимость в ведении претензионной работе? Когда будет подписана ИД?</t>
  </si>
  <si>
    <t>срок нарушен? выплачен аванс 16.10.2025 на сумму 1 626 000, Когда будет подписана ИД?</t>
  </si>
  <si>
    <t>Когда передана площадка для выполнения работ? Сроки нарушены? Не выполнение 14 295 445,73</t>
  </si>
  <si>
    <t>выплачен аванс 23.10.2025 на сумму 5 000 000, что с исполнением?</t>
  </si>
  <si>
    <t>действ до 15.01.2026, что с выполнением?</t>
  </si>
  <si>
    <r>
      <rPr>
        <u/>
        <sz val="11"/>
        <color rgb="FFFF0000"/>
        <rFont val="Calibri"/>
        <family val="2"/>
        <charset val="204"/>
        <scheme val="minor"/>
      </rPr>
      <t>цена договора 276840094,85, работы приняты согласно Акту от 25.12.2025 выполненных работ  на сумму 275 035 633,76</t>
    </r>
    <r>
      <rPr>
        <sz val="11"/>
        <color rgb="FFFF0000"/>
        <rFont val="Calibri"/>
        <family val="2"/>
        <charset val="204"/>
        <scheme val="minor"/>
      </rPr>
      <t xml:space="preserve">
</t>
    </r>
  </si>
  <si>
    <t xml:space="preserve"> цена договора составляет 43 018 281,08 работы приняты согласно акту от 27.01.2025 на сумму 33 222 548,61, в том числе аванс 14 476 199,41, что с исполнением?  требуется ли претензионная работа?</t>
  </si>
  <si>
    <t>выплачен аванс 20.11.2025 на сумму 13 252 712,38,  невыполнение 86 238 686,88, когда будут закрыты все работы?</t>
  </si>
  <si>
    <t>цена договора 141 893 441,68, работы выполнены на сумму 26 279 550,54, срок выполнения прошел, что с выполнением работ? Требуется ли претензионная работа? Когда будет инициирована СЗ на претензионную работу?</t>
  </si>
  <si>
    <t>когда передана строй площадка для выполнения работ? цена договора 20 153 350,56, согласно Акту от 01.12.2025  работы выполнены на 19 091 666,53, невыполнение 1 061 684,03, будет ДС к факту?</t>
  </si>
  <si>
    <t>цена договора 152 726 583,41 работы приняты на сумму 13 930 469,11 по акту, что с выполнением работ?</t>
  </si>
  <si>
    <t>срок истек 01.10.2025, цена договора 152 726 583,41 работы приняты на сумму 13 930 469,11 по акту сверки, что с выполнением работ? Требуется ли претензионная работа? Что с продлением срока?</t>
  </si>
  <si>
    <t>цена договора 81 870 880,38, работы приняты согласно Акту от 25.12.2025 на сумму 79 822 659,04, невыполнение 2 048 221,34</t>
  </si>
  <si>
    <t>цена договора 33 627 229,23, работы приняты согласно Акту от 11.12.2025 на сумму 6 320 204,76, Работы выполняются?</t>
  </si>
  <si>
    <t>ДС № 1 к договору СИБЭРСИБЭМ-25/2599</t>
  </si>
  <si>
    <t>с 22.12.2025 по 30.12.2025</t>
  </si>
  <si>
    <t>срок по 30.12.2025, цена договора 33 627 229,23, цена договора 33 627 229,23, работы приняты согласно Акту от 11.12.2025 на сумму 6 320 204,76, работы выполняются? Что с закрытием?</t>
  </si>
  <si>
    <t xml:space="preserve"> невыполнение 8 918 646,27        когда будет заключено ДС к факту?</t>
  </si>
  <si>
    <t>невыполнение 1 112 441,49, когда будет заключено ДС к факту?</t>
  </si>
  <si>
    <t>цена договора 56 056 023,16 срок выполнения работ не более 45 к.д. с момента подписания договора, т.е. до 01.05.2025  Выплачен аванс в размере 3 000 000, работы выполнены на сумму 63 313 845,73</t>
  </si>
  <si>
    <t>невыполнение 6 818 823,54 руб.  Принятые работы не соответствуют цене договора. Когда будет закрытие по договору?</t>
  </si>
  <si>
    <t>невыполнение 12 247 262,39 прошу пояснить какой результ по договору почему работы выполнены не в полном объеме?   расторжение на невыполнение или претензионная работа? Или продление сроков по договору?</t>
  </si>
  <si>
    <t xml:space="preserve">Претензия № 6.19.13-128487 от 02.12.2025  возврат аванса, неустойка, отказ от договора 6 150 000,00 </t>
  </si>
  <si>
    <t>Согласовано на ЦЗК заключение ДС на продление сроков до 28.02.26</t>
  </si>
  <si>
    <t>Работы не выполнялись</t>
  </si>
  <si>
    <t>Площака не передана, энегоблок 7 в модернизацию не передан</t>
  </si>
  <si>
    <t>Работы завершены. Вынесено на ЦЗК заключение ДС на увеличение стоимости и продление сроков. КА готовит документы для закрытия</t>
  </si>
  <si>
    <t>Работы планирюется завершить 31.01.26 г., после этого будет закрытие</t>
  </si>
  <si>
    <t>Порученные объёмы работ выполнены, ДС к факту</t>
  </si>
  <si>
    <t>Направлена СЗ в договорной отдел по расторжению договора</t>
  </si>
  <si>
    <t>Работы завершены в порученном объеме, КА готовит документы для закрытия выполнения</t>
  </si>
  <si>
    <t>ДС к факту</t>
  </si>
  <si>
    <t>Работы завершены полностью, ДС к факту</t>
  </si>
  <si>
    <t>Претензионная работа не требуется. ДС к факту</t>
  </si>
  <si>
    <t>23.12.2025 г. в ЮУ была направлена СЗ об исковой работе</t>
  </si>
  <si>
    <t>КА направил письмо о продлении до 01.06.2026 г., ДС на продление сроков</t>
  </si>
  <si>
    <t>Работы по факту завершены, ИД на подписании, после подписания ИД и закрытия выполнения будет ДС к факту</t>
  </si>
  <si>
    <t>Порученный объём работ выполнен. Будет ДС к факту</t>
  </si>
  <si>
    <t>Порученный объём работ выполнен. КА не предоставил документы для закрытия</t>
  </si>
  <si>
    <t>Работы завершены. ДС к факту</t>
  </si>
  <si>
    <t>Работы завершены. Претензионная работа не требуется. ДС к факту</t>
  </si>
  <si>
    <t>Рамочный договор по чел.-часам. Работы завершены. ДС к факту.</t>
  </si>
  <si>
    <t>Договор исполнен ( неверно указан код КА в sap)</t>
  </si>
  <si>
    <t>Работы не выполняются. После окончания договора претензионная работа за нарушение сроков.</t>
  </si>
  <si>
    <t>Работы не завершены. КА ушёл с площадки. Необходимость в претензионной работе</t>
  </si>
  <si>
    <t>Работы выполняются, необходимости в претензионной работе нет.</t>
  </si>
  <si>
    <t>Согласовано ДС на продление сроков по 30.01.2026</t>
  </si>
  <si>
    <t>задержка сроков по причине несвоевременного обеспечения стройготовности. Претензионная работа пока не требуется</t>
  </si>
  <si>
    <t>Загружена в СЭД ДС на выполнение дополнительных работ.</t>
  </si>
  <si>
    <t>ДС на увеличение объёмов и продление сроков на согласовании ГО СГК</t>
  </si>
  <si>
    <t>Работы завершены, закрыто 93,2 из 93,8 млн.руб. ДС к факту.</t>
  </si>
  <si>
    <t>Работы выполняются, КА не предоставлял документы для закрытия</t>
  </si>
  <si>
    <t>Работы выполняются, КА готовит письмо на продление сроков (потребовались доп.работы и тех.решения по перетрассировке)</t>
  </si>
  <si>
    <t>Работы выполняются, нарушение сроков по причине задержки поставки МТР поставки СибЭМ, завершение работ планируется  02.26</t>
  </si>
  <si>
    <t>Работы по ДС не завершены, после завершения и подписания ИД будет закрытие выполнения. Нарушение сроков по вине КА</t>
  </si>
  <si>
    <t>Договор исполнен. ДС к факту</t>
  </si>
  <si>
    <t>Претензионная работа не требуется, нарушение сроков из-за отсутствия стройготовности, будет ДС к факту</t>
  </si>
  <si>
    <t>Работы приостановлены в связи с отсутствием допуска от службы эксплуатации на время проведения пусковых операций на бл.3</t>
  </si>
  <si>
    <t>Сумма ДС-1 с НДС - 78 820 376,4 руб, действ</t>
  </si>
  <si>
    <t>СИБЭРСИБЭМ-25/934</t>
  </si>
  <si>
    <t>Выполнение пусконаладочных работ по наладке электрооборудования энергоблока ст. № 6 Приморской ГРЭС</t>
  </si>
  <si>
    <t>с момента сторительной готовности  по 25.12.2025</t>
  </si>
  <si>
    <t>Выписка ЦЗК 96-СибЭМ от 19.12.2025 г (8523)</t>
  </si>
  <si>
    <t>Претензия 6.19.13-133340 от 11.12.2025 штраф+возмещение ущерба на сумму 74 000,00</t>
  </si>
  <si>
    <t>Претензия 6.19.13-133354 от 11.12.2025 штраф+возмещение ущерба на сумму 74 000,00</t>
  </si>
  <si>
    <t>Претензия 6.19.13-6281 от 27.01.2026 пени на сумму 522 516,15</t>
  </si>
  <si>
    <t>январь</t>
  </si>
  <si>
    <t xml:space="preserve">цена договора 72 794 199,08, работы приняты согласно Акту от 29.01.2026 на сумму 71 236 646,80, невыполнение 1 557 552,28, прошу пояснить, будет ли еще невыполнение по договору? Есть-ли необходимость в ведении претензионной работе или оформление д/с к факту? </t>
  </si>
  <si>
    <t>выплачен аванс 3 472 805,51 Срок по 30.09.2025, цена договора 34 728 055,10, работы приняты согласно Акту от 12.12.2025 на сумму 30 283 583,09 Когда будет направлена СЗ о проведении претензионной работы?</t>
  </si>
  <si>
    <t>работы выполнены согласно Акту от 12.01.2026 на сумму 10 495 625,84, невыполнение 12 503 802,16, что с закрытием работ?</t>
  </si>
  <si>
    <t>выплачен аванс 31 620 129,6, что с выполнением работ?</t>
  </si>
  <si>
    <t xml:space="preserve">претензия 6.19.13-101698 от 01.10.2025 с уведомлением  о зачете суммы 835 501,75, об уплате пени 14 803 998, 25 за просрочку конечного срока </t>
  </si>
  <si>
    <t>Выплачен аванс, когда будет  инициирована СЗ о необходимости ведения претензионной работы?  действующий по 27.02.2026</t>
  </si>
  <si>
    <t>5 000 000* вернули обратно 24.07.2025 в размере 5 000 000</t>
  </si>
  <si>
    <t xml:space="preserve">срок по 01.11.2025, работы выполнены согласно Акту сверки на 12.12.2026 на сумму 17 024 100,33, невыполнение 51 722 200,90, задолженность в пользу АО "СибЭР" 3 897 926,3, что с выполнением работ?  </t>
  </si>
  <si>
    <t>Согласовано ДС о продлении сроков до 01.09.2026</t>
  </si>
  <si>
    <t>оборотов по акту сверки на 12.02.2026 нет, контроль за исполнением договора, действующий по 28.02.2026</t>
  </si>
  <si>
    <t>срок по 31.12.2025 нарушен, выплачен аванс, когда будет предоставлена ИД? Когда будет ДС на продление срока договора?</t>
  </si>
  <si>
    <t>СРОК ДЕЙСТВИЯ ДО 31.12.2025,  на каком этапе выполнение работ? Есть-ли необходимость в ведении претензионной работы?</t>
  </si>
  <si>
    <t>цена договора   647 544 006,40, выплачен аванс 5 000 000, работы выполнены согласно акту от 12.02.2026 на сумму 33 731 669,72, на каом этапе выполнение работ? Есть-ли необходимость в ведении претензионной работе?</t>
  </si>
  <si>
    <t>цена договора  20 710 790,03 оборотов по акту нет. Когда будет инициирована претензионная работа, либо расторжение?</t>
  </si>
  <si>
    <t>цена договора 45 692 186,89 выплачен аванс 3 000 000,00, срок по 15.02.2026, прошу пояснить, что с выполнением работ по договору? Когда будет инициирована претензионная работа?</t>
  </si>
  <si>
    <t>оборотов по Акту сверки нет, соглашение о расторжении на согласовании с САП</t>
  </si>
  <si>
    <t>СИБЭРСИБЭМ-26/273</t>
  </si>
  <si>
    <t>Важенина Дарья Алексеевна</t>
  </si>
  <si>
    <t>выплачен аванс 23.10.2025 на сумму 3 250 260,00, Сроки нарушены? Невыполнение 28 689 930,00  требуется ли претензионная работа?</t>
  </si>
  <si>
    <t>Сроки нарушены? Не выполнение 11 196 639,34  будет ли еще выполнение работ? Есть ли нарушение со стороны КА?</t>
  </si>
  <si>
    <t>выплачен аванс 16.10.2025 на сумму 5 000 000, невыполнение 129 700 772,23,  требуется ли претензионная работа?</t>
  </si>
  <si>
    <t>Акт выполненных работ от 18.11.2025 на сумму 47 815 944,82. Невыполнение 1 707 134,39,  требуется ли претензионная работа?</t>
  </si>
  <si>
    <t>согласно Акту от 25.09.2025, работы выполнены на сумму 26 049 310,52, невыполнение 6 729 305,02,  договор исполнен?</t>
  </si>
  <si>
    <t>сроки нарушены, согласно Акту от 12.12.2025, работы выполнены на сумму 18 236 880, невыполнение на сумму 11 106 914. Договор исполнен?</t>
  </si>
  <si>
    <t>согласно Акту от 25.11.2025, работы выполнены на сумму 27 771 113,31, договор исполнен?</t>
  </si>
  <si>
    <t>согласно Акту от 16.12.2025 работы выполнены частично, на сумму 44 921 831,90, когда будут закрыты все работы?</t>
  </si>
  <si>
    <t>сроки нарушены, выплачен аванс 30.10.2025 на сумму 5 000 000, невыполнение 18 331 130,82, когда будут закрыты все работы?</t>
  </si>
  <si>
    <t>Невыполнение 973 296,45. Договор исполнен?</t>
  </si>
  <si>
    <t>выплачен аванс 3 000 000, невыполнение 1 240 520,23</t>
  </si>
  <si>
    <t>Договор исполнен? Невыполнение 30 251 393,86</t>
  </si>
  <si>
    <t>срок исполнения  по 31.12.2025, , невыполнение1 389 384,34, когда будет подготовлена СЗ на претензионную работу?</t>
  </si>
  <si>
    <t>цена договора 14 503 022,24, договор исполнен на сумму 13 017 282,80, невыполнение 1 485 739,44, будет ли закрытие полностью? Или договор исполнен?</t>
  </si>
  <si>
    <t>ДС № 1 к СИБЭРСИБЭМ-25/8255</t>
  </si>
  <si>
    <t>Продление сроков выполнения работ по 28.02.2026</t>
  </si>
  <si>
    <t>с 31.10.2025 по 28.02.2026</t>
  </si>
  <si>
    <t>Выписка из протокола ЗК 1 СибЭМ от 15.01.2025</t>
  </si>
  <si>
    <t>действ до 12.01.2026, договор исполнен?</t>
  </si>
  <si>
    <t>срок по 27.12.2025, выплачен аванс 1 000 000, невыполнение 1 314 695,77</t>
  </si>
  <si>
    <t>действ до 15.02.2026, невыполнение 4 269 719,18</t>
  </si>
  <si>
    <t>действ до 15.01.2026, невыполнение 3 341 218,32</t>
  </si>
  <si>
    <t>невыполнение 1 147 758,00</t>
  </si>
  <si>
    <t>работы выполнены и закрыты по фактическим объемам. Остаток по договору - не выполненые объемы работ. Требуется .</t>
  </si>
  <si>
    <t>работы выполнены и закрыты по факту. Претензионная работа не требуется. .</t>
  </si>
  <si>
    <t xml:space="preserve">работы выполнены и закрыты по факту. Остаток сложился в связи с тем, что монтаж лесов осуществляли собственные силы. </t>
  </si>
  <si>
    <t>Работы заврешены, , претензионная работа не требуется</t>
  </si>
  <si>
    <t xml:space="preserve">Работы выполнены, нарушений и претензий нет, будет </t>
  </si>
  <si>
    <t xml:space="preserve">Работы выполнены в полном объёме, сумма выполнения меньше в связи с корректировкой объёмов в ходе выполнения работ, будет </t>
  </si>
  <si>
    <t>невыполнение 2 880 249,69, договор исполнен?</t>
  </si>
  <si>
    <t>невыполнение 904 461,09, договор исполнен?</t>
  </si>
  <si>
    <t>невыполнение 1 968 865,08, договор исполнен?</t>
  </si>
  <si>
    <t>Сумма невыполнения 236 525,42, договор исполнен?</t>
  </si>
  <si>
    <t xml:space="preserve">срок истек 10.10.2025, цена договора 64 130 112,95, работы выполнены согласно Акту от 24.10.2025 на сумму 60 138 773,76? Есть ли нарушение со стороны КА? </t>
  </si>
  <si>
    <t>невыполнение на сумму 111 113,57, договор исполнен?</t>
  </si>
  <si>
    <t xml:space="preserve">срок по 05.09.2025, цена договора цена договора 81 870 880,38, работы приняты согласно Акту от 25.12.2025 на сумму 79 822 659,04, невыполнение 2 048 221,34 </t>
  </si>
  <si>
    <t>срок по 30.10.2025, цена договора 122 877 040,14 выплачен аванс 17 000 000,00, невыполнение на сумму 23 013 131,73 необходимо ДС к факту</t>
  </si>
  <si>
    <t>Выполнение части работ поручено другим субподрядчикам в связи со сжатыми сроками ввода ЭБ, направлена СЗ на инициацию ДС к факту</t>
  </si>
  <si>
    <t>Идет согласование с ПримГРЭС ТОиР на выполнение дополнительных работ, будет ДС на перераспределение объемов работ</t>
  </si>
  <si>
    <t>Претензионная работа не требуется, будет ДС к факту</t>
  </si>
  <si>
    <t>Договор на выполнение работ по чел.-часам, закрытие по фактически отработанному времени.</t>
  </si>
  <si>
    <t>КА направил письмо о продлении договора, с обоснованием причин, направлена СЗ на инициацию ДС на продление сроков</t>
  </si>
  <si>
    <t>Договор исполнен, закрыты фактически выполненные работы. ДС к факту</t>
  </si>
  <si>
    <t>Договор на выполнение работ по чел.-часам, закрыто  фактически отработанное время.</t>
  </si>
  <si>
    <t>Закрыты все фактически выполненные работы. ДС к факту</t>
  </si>
  <si>
    <t>Согласовано ДС-1 на увеличение суммы, закрытие в полном объёме после подписания ДС</t>
  </si>
  <si>
    <t>Работы не выполнялись в связи с отсутствием стройготовности. КА ушел с площадки</t>
  </si>
  <si>
    <t>Закрыты фактически выполненные работы. ДС к факту. Претензионная работа не требуется</t>
  </si>
  <si>
    <t>Требуется работа по анализу причин невыполнения и наличия обращений от КА, и др.факторов, для оценки правомерности выставления претензии.</t>
  </si>
  <si>
    <t xml:space="preserve">СЗ на инициацию претензионной работы по возврату аванса и расторжение договора в срок до 15.03.26 </t>
  </si>
  <si>
    <t>Продлениы сроки до 06.2026. Претензионная работа не требуется</t>
  </si>
  <si>
    <t>КА предоставил еще не все документы для закрытия выполнения. После сдачи всех форм КС-2 будет рассмотрен вопрос о ДС к факту</t>
  </si>
  <si>
    <t>По КС-3 № 10 работы закрыты в полном объёме на сумму договора. Претензионная работа не требуется.</t>
  </si>
  <si>
    <t>Претензия будет инициирована в срок до 30.03.26</t>
  </si>
  <si>
    <t>Работы выполнены в срок, задержка с закрытием выполнения связана с заключением ДС-1. Претензионная работа не требуется.</t>
  </si>
  <si>
    <t>Претензионная работа не требуется. ДС на продление на согласовании</t>
  </si>
  <si>
    <t>ДС на продление сроков согласовано, на заключении, отработка ПУР. Претензионная работа пока не требуется.</t>
  </si>
  <si>
    <t>Работы не завершены по причине частичного отсутствия стройготовности, не по вине КА. Продолжается выполнение работ, будет ещё закрытие.</t>
  </si>
  <si>
    <t>СЗ на инициацию претензионной работы направлена в ЮУ 03.03.26</t>
  </si>
  <si>
    <t>Поступило письмо КА о продлении до 01.06.26, в связи с отсутствием стройготовности. СЗ будет иициирована до 16.03.26</t>
  </si>
  <si>
    <t>Закрыто 95,3 млн. выполнения. Все порученные объёмы выполнены, будет ДС к факту, претензионная работа не требуется</t>
  </si>
  <si>
    <t>Договор неДПМ.
Идет согласование с ПримГРЭС ТОиР на выполнение дополнительных работ, будет ДС на перераспределение объемов работ. Претензионная работа не требуется</t>
  </si>
  <si>
    <t>Претензионная работа не требуется. ДС на продление сроков на согласовании</t>
  </si>
  <si>
    <t>Претензионная работа будет инициирована до 30.03.26</t>
  </si>
  <si>
    <t>Поступило письмо КА о продлении сроков в связи с длительным согласованием изменений РД (информация подтверждена куратором), инициация СЗ на ДС</t>
  </si>
  <si>
    <t>Работы выполнены. ИД не требуется, т.к. работы по ремонту. Претензионная работа не требуется. ДС к факту</t>
  </si>
  <si>
    <t>Договор исполнен ( неверно указан код КА в sap), документация подписана</t>
  </si>
  <si>
    <t>Акт приема-передачи стройплощадки отсутствует. Работы завершены. ДС к факту.</t>
  </si>
  <si>
    <t xml:space="preserve">Акт передачи площадки отсутствует. По информации от куратора работы завершены без нарушения сроков. </t>
  </si>
  <si>
    <t>КА предоставил на проверкукомплект ИД. Закрытие выполнения после подписания ИД.</t>
  </si>
  <si>
    <t>По уточненной информации от Куратора, все работы выполнил второй субподрядчик из законтрактованных на данные работы. Будет СЗ на возврат аванса</t>
  </si>
  <si>
    <t>По информации Куратора, договор исполнен.</t>
  </si>
  <si>
    <t>По информации от Куратора, продление сроков после получения разрешения от эксплуатации на возобновление работ</t>
  </si>
  <si>
    <t>Договор исполнен, оплачены фактически выполненные работы, ДС к факту</t>
  </si>
  <si>
    <t>По информации от Куратора, закрыты все фактически выполненные работы, остальной объём был поручен другим законтрактованным субподрядчикам</t>
  </si>
  <si>
    <t>КА омплектует ИД на проверку, для закрытия выполнения. Нарушение сроков по отсутствию стройготовности. Претензионная работа не требуется.</t>
  </si>
  <si>
    <t>Закрыты выполненные по факту объёмы, остальной объём поручен другим субподрядчикам. ДС к факту.</t>
  </si>
  <si>
    <t>По информации от Куратора, будет инициировано ДС на продление сроков после получение разрешения от эксплуатации на продолжение работ.</t>
  </si>
  <si>
    <t>КА выполнил не полный объём работ по договору. Не предоставил документы для закурытия на выполненный объём</t>
  </si>
  <si>
    <t>Работы не завершены, будет ещё закрытие выполнения</t>
  </si>
  <si>
    <t>Работы выполняются, ещё не завершены, КА не подавал документы для закрытия выполнения</t>
  </si>
  <si>
    <t>АО "СибЭР"</t>
  </si>
  <si>
    <t/>
  </si>
  <si>
    <t>Расшифровки к Бухгалтерскому балансу</t>
  </si>
  <si>
    <t>По состоянию на 05.03.2026</t>
  </si>
  <si>
    <t>руб.</t>
  </si>
  <si>
    <t>Дебиторская задолженность</t>
  </si>
  <si>
    <t>Код контрагента</t>
  </si>
  <si>
    <t>Контрагент</t>
  </si>
  <si>
    <t>Договор</t>
  </si>
  <si>
    <t>Сист.№ договора</t>
  </si>
  <si>
    <t>Дата возникновения задолженности</t>
  </si>
  <si>
    <t>Сумма на 05.03.2026</t>
  </si>
  <si>
    <t>в том числе просроченная</t>
  </si>
  <si>
    <t>Резерв по сомнительным долгам</t>
  </si>
  <si>
    <t>Завод</t>
  </si>
  <si>
    <t>Б/счет</t>
  </si>
  <si>
    <t>Наименование</t>
  </si>
  <si>
    <t>Строка баланса</t>
  </si>
  <si>
    <t>Инициатор договора</t>
  </si>
  <si>
    <t>Подразделение инициатора договора</t>
  </si>
  <si>
    <t>1000001831</t>
  </si>
  <si>
    <t>ООО "ДЭФО-Красноярск"</t>
  </si>
  <si>
    <t>2466215598</t>
  </si>
  <si>
    <t>U636</t>
  </si>
  <si>
    <t>6002020000</t>
  </si>
  <si>
    <t>Авансы выданные на МЦ</t>
  </si>
  <si>
    <t>12302_41</t>
  </si>
  <si>
    <t>Екатерина Андреевна Марьина</t>
  </si>
  <si>
    <t>КС-24/378</t>
  </si>
  <si>
    <t>Александр Юрьевич Баньков</t>
  </si>
  <si>
    <t>1000001867</t>
  </si>
  <si>
    <t>Служба Гостехнадзора края</t>
  </si>
  <si>
    <t>2466133472</t>
  </si>
  <si>
    <t>БЕЗ ДОГОВОРА</t>
  </si>
  <si>
    <t>7610001000</t>
  </si>
  <si>
    <t>Авансы выданные прочим кредиторам</t>
  </si>
  <si>
    <t>Галина Викторовна Ляпунова</t>
  </si>
  <si>
    <t>1000004047</t>
  </si>
  <si>
    <t>АО "Енисейская ТГК (ТГК-13)"</t>
  </si>
  <si>
    <t>1901067718</t>
  </si>
  <si>
    <t>СИБЭР-19/415-КТЭЦ-1-19/642</t>
  </si>
  <si>
    <t>6210220000</t>
  </si>
  <si>
    <t>Расч.с покупат. кроме угля, нефтекокса, удобр.-ВР</t>
  </si>
  <si>
    <t>12302_11</t>
  </si>
  <si>
    <t>Наталья Геннадьевна Павлова</t>
  </si>
  <si>
    <t>СИБЭР-19/415/КТЭЦ-1-19/642</t>
  </si>
  <si>
    <t>6210320000</t>
  </si>
  <si>
    <t>Расч.с покуп.и заказ.за услуги кр.аренды/лизинг-ВР</t>
  </si>
  <si>
    <t>Антон Александрович Радченко</t>
  </si>
  <si>
    <t>СИБЭРСИБЭМ-24/3818</t>
  </si>
  <si>
    <t>1000004204</t>
  </si>
  <si>
    <t>АО "Енисейская ТГК (ТГК-13)" филиал Красноярская ТЭЦ-3</t>
  </si>
  <si>
    <t>1000004229</t>
  </si>
  <si>
    <t>АО "Кузбассэнерго"</t>
  </si>
  <si>
    <t>4200000333</t>
  </si>
  <si>
    <t>РЕФГРЭС-24/5864</t>
  </si>
  <si>
    <t>Сергей Романович Янов</t>
  </si>
  <si>
    <t>СИБЭРСИБЭМ-21/4509/ПГ-21/981</t>
  </si>
  <si>
    <t>Евгений Анатольевич Насекайлов</t>
  </si>
  <si>
    <t>ТУГРЭС-20/24</t>
  </si>
  <si>
    <t>Дмитрий Александрович Веденяпин</t>
  </si>
  <si>
    <t>1000004318</t>
  </si>
  <si>
    <t>ФБУ "Дальневосточный ЦСМ"</t>
  </si>
  <si>
    <t>2536007594</t>
  </si>
  <si>
    <t>СИБЭРСИБЭМ-25/8718</t>
  </si>
  <si>
    <t>6002070000</t>
  </si>
  <si>
    <t>Авансы выданные на услуги</t>
  </si>
  <si>
    <t>Алексей Владимирович Шимохин</t>
  </si>
  <si>
    <t>1000005096</t>
  </si>
  <si>
    <t>ПАО "ВымпелКом"</t>
  </si>
  <si>
    <t>7713076301</t>
  </si>
  <si>
    <t>СИБЭИ-16/360</t>
  </si>
  <si>
    <t>6210520000</t>
  </si>
  <si>
    <t>Расч.с покуп.и заказ.за переданные в аренду ОС-ВР</t>
  </si>
  <si>
    <t>Вадим Валерьевич Багаев</t>
  </si>
  <si>
    <t>1000007043</t>
  </si>
  <si>
    <t>ООО "Еонесси"</t>
  </si>
  <si>
    <t>2463000428</t>
  </si>
  <si>
    <t>СИБЭРСИБЭМ-25/3984</t>
  </si>
  <si>
    <t>Сергей Викторович Захватошин</t>
  </si>
  <si>
    <t>1000012090</t>
  </si>
  <si>
    <t>АО "ПФ "СКБ Контур"</t>
  </si>
  <si>
    <t>6663003127</t>
  </si>
  <si>
    <t>Неопределенно</t>
  </si>
  <si>
    <t>1000012223</t>
  </si>
  <si>
    <t>ООО "Деловые Линии"</t>
  </si>
  <si>
    <t>7826156685</t>
  </si>
  <si>
    <t>Алексей Павлович Янов</t>
  </si>
  <si>
    <t>Марина Александровна Бондаренко</t>
  </si>
  <si>
    <t>Надежда Геннадьевна Семенова</t>
  </si>
  <si>
    <t>Наталья Ивановна Крупская</t>
  </si>
  <si>
    <t>Вера Ивановна Стрельцова</t>
  </si>
  <si>
    <t>СИБЭРСИБЭМ-25/5678</t>
  </si>
  <si>
    <t>СИБЭРСИБЭМ-26/651</t>
  </si>
  <si>
    <t>1000012246</t>
  </si>
  <si>
    <t>СПАО "Ингосстрах"</t>
  </si>
  <si>
    <t>7705042179</t>
  </si>
  <si>
    <t>1000012386</t>
  </si>
  <si>
    <t>ООО "КАЗ"</t>
  </si>
  <si>
    <t>2452025371</t>
  </si>
  <si>
    <t>Константин Иванович Панурский</t>
  </si>
  <si>
    <t>1000012419</t>
  </si>
  <si>
    <t>ПАО "Красноярскэнергосбыт"</t>
  </si>
  <si>
    <t>2466132221</t>
  </si>
  <si>
    <t>6751</t>
  </si>
  <si>
    <t>6002140000</t>
  </si>
  <si>
    <t>Авансы выданные по электроэнергии</t>
  </si>
  <si>
    <t>Александр Владимирович Замякин</t>
  </si>
  <si>
    <t>1000012573</t>
  </si>
  <si>
    <t>ООО "Сибавтоматика"</t>
  </si>
  <si>
    <t>2466077281</t>
  </si>
  <si>
    <t>1000012910</t>
  </si>
  <si>
    <t>ФБУЗ "Центр гигиены и эпидемиологии в Красноярском крае"</t>
  </si>
  <si>
    <t>2463070760</t>
  </si>
  <si>
    <t>103910/25</t>
  </si>
  <si>
    <t>Олеся Викторовна Талыбова</t>
  </si>
  <si>
    <t>1000013049</t>
  </si>
  <si>
    <t>ООО "Армада"</t>
  </si>
  <si>
    <t>2464040840</t>
  </si>
  <si>
    <t>СИБЭРСИБЭМ-25/6321</t>
  </si>
  <si>
    <t>7620200000</t>
  </si>
  <si>
    <t>Расчеты по претензиям с дебиторами</t>
  </si>
  <si>
    <t>12302_599</t>
  </si>
  <si>
    <t>Светлана Николаевна Поправка</t>
  </si>
  <si>
    <t>1000013220</t>
  </si>
  <si>
    <t>ПАО "Кузбассэнергосбыт"</t>
  </si>
  <si>
    <t>4205109214</t>
  </si>
  <si>
    <t>СИБЭРСИБЭМ-22/2108</t>
  </si>
  <si>
    <t>1000013546</t>
  </si>
  <si>
    <t>АО "Стройсервис"</t>
  </si>
  <si>
    <t>4234001215</t>
  </si>
  <si>
    <t>6002010000</t>
  </si>
  <si>
    <t>Авансы выданные на кап.вложения</t>
  </si>
  <si>
    <t>1190_01_1</t>
  </si>
  <si>
    <t>БЕЗ_ДОГОВОРА</t>
  </si>
  <si>
    <t>1000013569</t>
  </si>
  <si>
    <t>(удален)АО "ТД "ТМК"</t>
  </si>
  <si>
    <t>7729392616</t>
  </si>
  <si>
    <t>348ММК-КР/ТЭЦ-3</t>
  </si>
  <si>
    <t>Владимир Сергеевич Тихомиров</t>
  </si>
  <si>
    <t>1000013609</t>
  </si>
  <si>
    <t>ЗАО "Электрокомплектсервис"</t>
  </si>
  <si>
    <t>5407159273</t>
  </si>
  <si>
    <t>209ММК-НМ/ГРЭС</t>
  </si>
  <si>
    <t>1000013747</t>
  </si>
  <si>
    <t>АО "Силовые Машины"</t>
  </si>
  <si>
    <t>7702080289</t>
  </si>
  <si>
    <t>СИБЭРСИБЭМ-22/5454</t>
  </si>
  <si>
    <t>Евгения Юрьевна Застрожникова</t>
  </si>
  <si>
    <t>СИБЭРСИБЭМ-25/9101</t>
  </si>
  <si>
    <t>Кристина Андреевна Дубровина</t>
  </si>
  <si>
    <t>1000013773</t>
  </si>
  <si>
    <t>АО "ЧЭАЗ"</t>
  </si>
  <si>
    <t>2128000600</t>
  </si>
  <si>
    <t>1000013981</t>
  </si>
  <si>
    <t>3816006073</t>
  </si>
  <si>
    <t>СИБЭРСИБЭМ-23/2686</t>
  </si>
  <si>
    <t>Анна Дмитриевна Шишкина</t>
  </si>
  <si>
    <t>СИБЭРСИБЭМ-25/2920</t>
  </si>
  <si>
    <t>СИБЭРСИБЭМ-25/3355</t>
  </si>
  <si>
    <t>Александр Сергеевич Турушев</t>
  </si>
  <si>
    <t>СИБЭРСИБЭМ-25/3356</t>
  </si>
  <si>
    <t>СИБЭРСИБЭМ-25/7998</t>
  </si>
  <si>
    <t>1000013996</t>
  </si>
  <si>
    <t>ООО "Восток-УАЗ"</t>
  </si>
  <si>
    <t>2536095449</t>
  </si>
  <si>
    <t>Наталья Владимировна Захарова</t>
  </si>
  <si>
    <t>1000014384</t>
  </si>
  <si>
    <t>ООО "Техноавиа-Красноярск"</t>
  </si>
  <si>
    <t>2460049048</t>
  </si>
  <si>
    <t>194ММК-КР/ТЭЦ-3-1</t>
  </si>
  <si>
    <t>Евгений Валериевич Крышковский</t>
  </si>
  <si>
    <t>194ММК-КР/ТЭЦ3-1</t>
  </si>
  <si>
    <t>1000014627</t>
  </si>
  <si>
    <t>ОАО "Электроприбор"</t>
  </si>
  <si>
    <t>2128002051</t>
  </si>
  <si>
    <t>Ксения Геннадьевна Майер</t>
  </si>
  <si>
    <t>1000015579</t>
  </si>
  <si>
    <t>ФБУ "Кузбасский ЦСМ"</t>
  </si>
  <si>
    <t>4207007095</t>
  </si>
  <si>
    <t>Владислава Альбертовна Федина</t>
  </si>
  <si>
    <t>1000016573</t>
  </si>
  <si>
    <t>ГУ Мвд России по Красноярскому краю</t>
  </si>
  <si>
    <t>2466050868</t>
  </si>
  <si>
    <t>Валентина Валерьевна Юдина</t>
  </si>
  <si>
    <t>1000016755</t>
  </si>
  <si>
    <t>ООО ТД "Шиноторг"</t>
  </si>
  <si>
    <t>2466138960</t>
  </si>
  <si>
    <t>1000017044</t>
  </si>
  <si>
    <t>ООО "УСТ - Красноярск"</t>
  </si>
  <si>
    <t>2466100692</t>
  </si>
  <si>
    <t>1000017053</t>
  </si>
  <si>
    <t>ПАО "Софтлайн"</t>
  </si>
  <si>
    <t>7736227885</t>
  </si>
  <si>
    <t>1000018461</t>
  </si>
  <si>
    <t>ООО "Киасофт"</t>
  </si>
  <si>
    <t>1901062678</t>
  </si>
  <si>
    <t>1000018719</t>
  </si>
  <si>
    <t>ООО "Техноавиа-Хабаровск"</t>
  </si>
  <si>
    <t>2721096912</t>
  </si>
  <si>
    <t>1000019927</t>
  </si>
  <si>
    <t>ООО "Хэдхантер"</t>
  </si>
  <si>
    <t>7718620740</t>
  </si>
  <si>
    <t>1000020778</t>
  </si>
  <si>
    <t>ООО "Карьерные Машины"</t>
  </si>
  <si>
    <t>2464047651</t>
  </si>
  <si>
    <t>Алексей Леонидович Караваев</t>
  </si>
  <si>
    <t>1000020813</t>
  </si>
  <si>
    <t>ООО "Замки"</t>
  </si>
  <si>
    <t>2724063993</t>
  </si>
  <si>
    <t>Александра Павловна Касьяник</t>
  </si>
  <si>
    <t>1000021598</t>
  </si>
  <si>
    <t>АО "ГИДРОМАШСЕРВИС"</t>
  </si>
  <si>
    <t>7733015025</t>
  </si>
  <si>
    <t>СИБЭРСИБЭМ-21/4615</t>
  </si>
  <si>
    <t>Марина Владимировна Бедарева</t>
  </si>
  <si>
    <t>СИБЭРСИБЭМ-25/2643</t>
  </si>
  <si>
    <t>Наталья Викторовна Пономарева</t>
  </si>
  <si>
    <t>1000022231</t>
  </si>
  <si>
    <t>ООО "ГСИ-Хабаровск"</t>
  </si>
  <si>
    <t>2722066526</t>
  </si>
  <si>
    <t>Илья Юрьевич Гуляев</t>
  </si>
  <si>
    <t>1000022283</t>
  </si>
  <si>
    <t>АО "ЧИП и ДИП"</t>
  </si>
  <si>
    <t>7729108750</t>
  </si>
  <si>
    <t>Эдуард Рамильевич Хазиахметов</t>
  </si>
  <si>
    <t>Степан Сергеевич Широколобов</t>
  </si>
  <si>
    <t>13801187</t>
  </si>
  <si>
    <t>1000022395</t>
  </si>
  <si>
    <t>ООО "СТК"</t>
  </si>
  <si>
    <t>5405248376</t>
  </si>
  <si>
    <t>СИБЭРСИБЭМ-25/9129</t>
  </si>
  <si>
    <t>Ирина Александровна Перепелкина</t>
  </si>
  <si>
    <t>1000022837</t>
  </si>
  <si>
    <t>ОСФР по республике Хакасия</t>
  </si>
  <si>
    <t>1901016752</t>
  </si>
  <si>
    <t>7610405000</t>
  </si>
  <si>
    <t>Расчеты по пособиям, возмещаемым ФСС (Кр)</t>
  </si>
  <si>
    <t>1000024947</t>
  </si>
  <si>
    <t>Фирма Феод ООО</t>
  </si>
  <si>
    <t>4217009246</t>
  </si>
  <si>
    <t>1000026098</t>
  </si>
  <si>
    <t>ООО "Элрик"</t>
  </si>
  <si>
    <t>2464056416</t>
  </si>
  <si>
    <t>СИБЭРСИБЭМ-20/1352</t>
  </si>
  <si>
    <t>Сергей Анатольевич Шарапов</t>
  </si>
  <si>
    <t>СИБЭРСИБЭМ-21/1983</t>
  </si>
  <si>
    <t>Антон Викторович Жданов</t>
  </si>
  <si>
    <t>СИБЭРСИБЭМ-21/6083</t>
  </si>
  <si>
    <t>Юрий Иванович Гобелев</t>
  </si>
  <si>
    <t>СИБЭРСИБЭМ-22/2621</t>
  </si>
  <si>
    <t>СИБЭРСИБЭМ-22/2742</t>
  </si>
  <si>
    <t>1000026176</t>
  </si>
  <si>
    <t>ООО "ИК "А-Инж"</t>
  </si>
  <si>
    <t>2464203773</t>
  </si>
  <si>
    <t>320ММК-КР/ТЭЦ-3</t>
  </si>
  <si>
    <t>Александр Сергеевич Щемирский</t>
  </si>
  <si>
    <t>1000026417</t>
  </si>
  <si>
    <t>ООО " Ермак К "</t>
  </si>
  <si>
    <t>2465059970</t>
  </si>
  <si>
    <t>1000026726</t>
  </si>
  <si>
    <t>ООО "Агромаг"</t>
  </si>
  <si>
    <t>2466034760</t>
  </si>
  <si>
    <t>СИБЭРСИБЭМ-22/354</t>
  </si>
  <si>
    <t>Наталья Фаритовна Гурьянова</t>
  </si>
  <si>
    <t>1000027144</t>
  </si>
  <si>
    <t>ООО "ГСИ-Красноярск"</t>
  </si>
  <si>
    <t>2466153013</t>
  </si>
  <si>
    <t>Александра Алексеевна Московских</t>
  </si>
  <si>
    <t>1000027292</t>
  </si>
  <si>
    <t>НПО "ЭЛСИБ" АО</t>
  </si>
  <si>
    <t>5403102702</t>
  </si>
  <si>
    <t>СИБЭРСИБЭМ-21/4259</t>
  </si>
  <si>
    <t>СИБЭРСИБЭМ-21/6781</t>
  </si>
  <si>
    <t>1000027315</t>
  </si>
  <si>
    <t>БИЙСКАЯ ТЭЦ</t>
  </si>
  <si>
    <t>5404105135</t>
  </si>
  <si>
    <t>СИБЭРСИБЭМ-25/4329</t>
  </si>
  <si>
    <t>Игорь Сергеевич Комендантов</t>
  </si>
  <si>
    <t>1000027403</t>
  </si>
  <si>
    <t>ПАО ТКЗ "Красный Котельщик"</t>
  </si>
  <si>
    <t>6154023009</t>
  </si>
  <si>
    <t>СИБЭРСИБЭМ-25/3603</t>
  </si>
  <si>
    <t>Павел Сергеевич Иванов</t>
  </si>
  <si>
    <t>СИБЭРСИБЭМ-25/7192</t>
  </si>
  <si>
    <t>1000027428</t>
  </si>
  <si>
    <t>АО "Уралэнергоремонт"</t>
  </si>
  <si>
    <t>6660001308</t>
  </si>
  <si>
    <t>СИБЭРСИБЭМ-21/4626</t>
  </si>
  <si>
    <t>Снежана Юрьевна Колесниченко</t>
  </si>
  <si>
    <t>1000027453</t>
  </si>
  <si>
    <t>АО "УТЗ"</t>
  </si>
  <si>
    <t>6673100680</t>
  </si>
  <si>
    <t>СИБЭРСИБЭМ-22/6271</t>
  </si>
  <si>
    <t>СИБЭРСИБЭМ-23/1602</t>
  </si>
  <si>
    <t>СИБЭРСИБЭМ-25/7320</t>
  </si>
  <si>
    <t>Оксана Владимировна Савенкова</t>
  </si>
  <si>
    <t>СИБЭРСИБЭМ-25/9068</t>
  </si>
  <si>
    <t>1000027726</t>
  </si>
  <si>
    <t>ООО НПЦ "СПБ"</t>
  </si>
  <si>
    <t>2464090110</t>
  </si>
  <si>
    <t>СИБЭРСИБЭМ-25/7481</t>
  </si>
  <si>
    <t>Анастасия Сергеевна Здоровцева</t>
  </si>
  <si>
    <t>1000028046</t>
  </si>
  <si>
    <t>ГБУЗ "Мысковская городская больница"</t>
  </si>
  <si>
    <t>4215001548</t>
  </si>
  <si>
    <t>54-ОПМО</t>
  </si>
  <si>
    <t>Татьяна Игоревна Боженко</t>
  </si>
  <si>
    <t>1000028454</t>
  </si>
  <si>
    <t>2464039386</t>
  </si>
  <si>
    <t>СИБЭРСИБЭМ-23/1116</t>
  </si>
  <si>
    <t>Светлана Николаевна Демко</t>
  </si>
  <si>
    <t>Виталий Юрьевич Карлов</t>
  </si>
  <si>
    <t>СИБЭРСИБЭМ-25/7987</t>
  </si>
  <si>
    <t>1000028822</t>
  </si>
  <si>
    <t>ООО "Торговый дом "Русичи"</t>
  </si>
  <si>
    <t>2461117452</t>
  </si>
  <si>
    <t>1000028946</t>
  </si>
  <si>
    <t>ООО "Альдо"</t>
  </si>
  <si>
    <t>2463005592</t>
  </si>
  <si>
    <t>1000029706</t>
  </si>
  <si>
    <t>ООО "Вираж"</t>
  </si>
  <si>
    <t>2460014920</t>
  </si>
  <si>
    <t>Кристина Александровна Назаренко</t>
  </si>
  <si>
    <t>Олеся Леонидовна Москвина</t>
  </si>
  <si>
    <t>без договора</t>
  </si>
  <si>
    <t>Александра Дмитриевна Полева</t>
  </si>
  <si>
    <t>1000029780</t>
  </si>
  <si>
    <t>АО "ХСРК"</t>
  </si>
  <si>
    <t>1901061272</t>
  </si>
  <si>
    <t>СИБЭИ-16/176</t>
  </si>
  <si>
    <t>1000030020</t>
  </si>
  <si>
    <t>ПАО "Мегафон"</t>
  </si>
  <si>
    <t>7812014560</t>
  </si>
  <si>
    <t>100810601</t>
  </si>
  <si>
    <t>100829040</t>
  </si>
  <si>
    <t>1000030114</t>
  </si>
  <si>
    <t>АО "СГК-Новосибирск"</t>
  </si>
  <si>
    <t>5405270340</t>
  </si>
  <si>
    <t>НТЭЦ-2-24/2067/СИБЭР-06-24/2731</t>
  </si>
  <si>
    <t>Тимур Евгеньевич Боровиков</t>
  </si>
  <si>
    <t>1000032149</t>
  </si>
  <si>
    <t>АО "Сухоложский Огнеупорный Завод"</t>
  </si>
  <si>
    <t>6633000665</t>
  </si>
  <si>
    <t>1000033339</t>
  </si>
  <si>
    <t>ООО "Капитал-99"</t>
  </si>
  <si>
    <t>2464028909</t>
  </si>
  <si>
    <t>СИБЭРСИБЭМ-23/3156</t>
  </si>
  <si>
    <t>Антон Александрович Казак</t>
  </si>
  <si>
    <t>1000035059</t>
  </si>
  <si>
    <t>ООО "КЦСК"</t>
  </si>
  <si>
    <t>4205168940</t>
  </si>
  <si>
    <t>1000035552</t>
  </si>
  <si>
    <t>ООО "Промснаб"</t>
  </si>
  <si>
    <t>2464213010</t>
  </si>
  <si>
    <t>1000035724</t>
  </si>
  <si>
    <t>ООО "НТС"</t>
  </si>
  <si>
    <t>2463071997</t>
  </si>
  <si>
    <t>1000037611</t>
  </si>
  <si>
    <t>ООО "ТехноНИКОЛЬ"</t>
  </si>
  <si>
    <t>3811066336</t>
  </si>
  <si>
    <t>1000037804</t>
  </si>
  <si>
    <t>ООО "Формула-Дв"</t>
  </si>
  <si>
    <t>2723010886</t>
  </si>
  <si>
    <t>Ирина Викторовна Панькова</t>
  </si>
  <si>
    <t>1000038384</t>
  </si>
  <si>
    <t>АО "ННК-Хабаровскнефтепродукт"</t>
  </si>
  <si>
    <t>2700000105</t>
  </si>
  <si>
    <t>СИБЭРСИБЭМ-21/2302</t>
  </si>
  <si>
    <t>Николай Васильевич Сидеев</t>
  </si>
  <si>
    <t>1000040887</t>
  </si>
  <si>
    <t>СРО Асх</t>
  </si>
  <si>
    <t>1901086580</t>
  </si>
  <si>
    <t>1000041827</t>
  </si>
  <si>
    <t>ООО МТК "КРАСО"</t>
  </si>
  <si>
    <t>4217121858</t>
  </si>
  <si>
    <t>КР000002252</t>
  </si>
  <si>
    <t>1000042040</t>
  </si>
  <si>
    <t>ООО "НАГ"</t>
  </si>
  <si>
    <t>6659099112</t>
  </si>
  <si>
    <t>634738</t>
  </si>
  <si>
    <t>Светлана Александровна Жданова</t>
  </si>
  <si>
    <t>1000042665</t>
  </si>
  <si>
    <t>ООО "Мечел-Сервис"</t>
  </si>
  <si>
    <t>7704555837</t>
  </si>
  <si>
    <t>1000044316</t>
  </si>
  <si>
    <t>ООО "Диалог Консалтинг"</t>
  </si>
  <si>
    <t>2466205230</t>
  </si>
  <si>
    <t>1000044394</t>
  </si>
  <si>
    <t>ООО "Экологический Сервис"</t>
  </si>
  <si>
    <t>2463206394</t>
  </si>
  <si>
    <t>3052</t>
  </si>
  <si>
    <t>1000045078</t>
  </si>
  <si>
    <t>ООО "ВИЭС"</t>
  </si>
  <si>
    <t>2466078422</t>
  </si>
  <si>
    <t>1000045227</t>
  </si>
  <si>
    <t>ООО ТД "МеталлПромГарант"</t>
  </si>
  <si>
    <t>2466233082</t>
  </si>
  <si>
    <t>176ММК-КР/ТЭЦ-1</t>
  </si>
  <si>
    <t>1000046133</t>
  </si>
  <si>
    <t>ООО "Научно-Производственная Фирма "Контур"</t>
  </si>
  <si>
    <t>4217000780</t>
  </si>
  <si>
    <t>Елена Борисовна Волченко</t>
  </si>
  <si>
    <t>СИБЭРСИБЭМ-26/794</t>
  </si>
  <si>
    <t>1000047301</t>
  </si>
  <si>
    <t>ООО "Байкал-Сервис Тк"</t>
  </si>
  <si>
    <t>5001038736</t>
  </si>
  <si>
    <t>1000047411</t>
  </si>
  <si>
    <t>Валерий Станиславович Гавриш</t>
  </si>
  <si>
    <t>1000047549</t>
  </si>
  <si>
    <t>ООО "МФК ТЕХЭНЕРГО"</t>
  </si>
  <si>
    <t>7715215141</t>
  </si>
  <si>
    <t>67357</t>
  </si>
  <si>
    <t>1000047872</t>
  </si>
  <si>
    <t>САО "ВСК"</t>
  </si>
  <si>
    <t>7710026574</t>
  </si>
  <si>
    <t>24750D</t>
  </si>
  <si>
    <t>1000048068</t>
  </si>
  <si>
    <t>ООО "Энерго-Профи"</t>
  </si>
  <si>
    <t>1901079618</t>
  </si>
  <si>
    <t>60</t>
  </si>
  <si>
    <t>Олег Юрьевич Михей</t>
  </si>
  <si>
    <t>61</t>
  </si>
  <si>
    <t>1000048614</t>
  </si>
  <si>
    <t>АО "ДПД Рус"</t>
  </si>
  <si>
    <t>7713215523</t>
  </si>
  <si>
    <t>1000048746</t>
  </si>
  <si>
    <t>ООО "МСВ"</t>
  </si>
  <si>
    <t>2222059457</t>
  </si>
  <si>
    <t>240ММК-КР/ТЭЦ-3</t>
  </si>
  <si>
    <t>1000049881</t>
  </si>
  <si>
    <t>ООО "А ГРУПП"</t>
  </si>
  <si>
    <t>7717625418</t>
  </si>
  <si>
    <t>1000050421</t>
  </si>
  <si>
    <t>ООО "Техноавиа-Владивосток"</t>
  </si>
  <si>
    <t>2539097395</t>
  </si>
  <si>
    <t>1000050640</t>
  </si>
  <si>
    <t>ООО "Снабсибэлектро"</t>
  </si>
  <si>
    <t>7714790036</t>
  </si>
  <si>
    <t>1000050973</t>
  </si>
  <si>
    <t>АО "ИАЭС"</t>
  </si>
  <si>
    <t>5406152194</t>
  </si>
  <si>
    <t>СИБЭРСИБЭМ-24/1259</t>
  </si>
  <si>
    <t>Александр Анатольевич Бакушин</t>
  </si>
  <si>
    <t>СИБЭРСИБЭМ-25/5745</t>
  </si>
  <si>
    <t>Артём Андреевич Парфенов</t>
  </si>
  <si>
    <t>1000051553</t>
  </si>
  <si>
    <t>ПАО "Калужский турбинный завод"</t>
  </si>
  <si>
    <t>4026007424</t>
  </si>
  <si>
    <t>СИБЭРСИБЭМ-20/1044</t>
  </si>
  <si>
    <t>СИБЭРСИБЭМ-21/4546</t>
  </si>
  <si>
    <t>1000051662</t>
  </si>
  <si>
    <t>АО "Автоспецбаза"</t>
  </si>
  <si>
    <t>2466245458</t>
  </si>
  <si>
    <t>НФ-015247/НКО/Т</t>
  </si>
  <si>
    <t>Дарья Игоревна Шаталова</t>
  </si>
  <si>
    <t>7610007000</t>
  </si>
  <si>
    <t>Авансы за аренду</t>
  </si>
  <si>
    <t>1000051677</t>
  </si>
  <si>
    <t>ООО "Охота"</t>
  </si>
  <si>
    <t>4252001722</t>
  </si>
  <si>
    <t>1000052341</t>
  </si>
  <si>
    <t>ООО "Сибинструмент"</t>
  </si>
  <si>
    <t>3810314233</t>
  </si>
  <si>
    <t>1000052763</t>
  </si>
  <si>
    <t>АО ВО "Электроаппарат"</t>
  </si>
  <si>
    <t>7801032688</t>
  </si>
  <si>
    <t>СИБЭРСИБЭМ-25/7595</t>
  </si>
  <si>
    <t>1000052874</t>
  </si>
  <si>
    <t>ООО "Техномаш"</t>
  </si>
  <si>
    <t>2465223596</t>
  </si>
  <si>
    <t>Владимир Валерьевич Коршунов</t>
  </si>
  <si>
    <t>СИБЭРСИБЭМ-24/85</t>
  </si>
  <si>
    <t>1000052969</t>
  </si>
  <si>
    <t>ООО "ЛЕ МОНЛИД"</t>
  </si>
  <si>
    <t>5029069967</t>
  </si>
  <si>
    <t>1000052973</t>
  </si>
  <si>
    <t>АО НПКЦ "Энергия"</t>
  </si>
  <si>
    <t>7704655662</t>
  </si>
  <si>
    <t>1000053459</t>
  </si>
  <si>
    <t>ООО "Технониколь"</t>
  </si>
  <si>
    <t>1000053510</t>
  </si>
  <si>
    <t>АО "СГК-Алтай"</t>
  </si>
  <si>
    <t>2224152758</t>
  </si>
  <si>
    <t>БТМК-16/421</t>
  </si>
  <si>
    <t>Роман Сергеевич Воробьев</t>
  </si>
  <si>
    <t>БЭ-19/612/СИБЭР-20/20</t>
  </si>
  <si>
    <t>Иван Геннадьевич Стась</t>
  </si>
  <si>
    <t>1000054681</t>
  </si>
  <si>
    <t>ООО "ТДНМ"</t>
  </si>
  <si>
    <t>5902157633</t>
  </si>
  <si>
    <t>1000054695</t>
  </si>
  <si>
    <t>ООО "Компания Чистая Вода Сибири"</t>
  </si>
  <si>
    <t>2460236312</t>
  </si>
  <si>
    <t>ПО016739</t>
  </si>
  <si>
    <t>Даниил Эдуардович Старовойтов</t>
  </si>
  <si>
    <t>ПО016765</t>
  </si>
  <si>
    <t>1000055558</t>
  </si>
  <si>
    <t>АО "ЮТЕХ Дистрибьюшн"</t>
  </si>
  <si>
    <t>7710050305</t>
  </si>
  <si>
    <t>Евгений Владимирович Качур</t>
  </si>
  <si>
    <t>1000055562</t>
  </si>
  <si>
    <t>ООО "Торговый дом Планета Безопасности"</t>
  </si>
  <si>
    <t>2723133221</t>
  </si>
  <si>
    <t>1000056054</t>
  </si>
  <si>
    <t>ООО "Минимакс"</t>
  </si>
  <si>
    <t>7810216924</t>
  </si>
  <si>
    <t>1000058619</t>
  </si>
  <si>
    <t>АО "СГ-Трейдинг"</t>
  </si>
  <si>
    <t>7704833717</t>
  </si>
  <si>
    <t>1000058671</t>
  </si>
  <si>
    <t>ООО "Предприятие "Стройкомплект"</t>
  </si>
  <si>
    <t>6663066293</t>
  </si>
  <si>
    <t>1362</t>
  </si>
  <si>
    <t>Евгений Константинович Фомичев</t>
  </si>
  <si>
    <t>1000059219</t>
  </si>
  <si>
    <t>ООО "ДЦС"</t>
  </si>
  <si>
    <t>2721203184</t>
  </si>
  <si>
    <t>265ММК-ЛГ/ПГРЭС</t>
  </si>
  <si>
    <t>Сергей Иванович Цветцих</t>
  </si>
  <si>
    <t>1000060402</t>
  </si>
  <si>
    <t>ООО "ТД Енисейпром"</t>
  </si>
  <si>
    <t>2464226153</t>
  </si>
  <si>
    <t>1000060552</t>
  </si>
  <si>
    <t>ООО "ТД "Электрум"</t>
  </si>
  <si>
    <t>2460243359</t>
  </si>
  <si>
    <t>1000060788</t>
  </si>
  <si>
    <t>ПВ ООО "Фирма "Техноавиа"</t>
  </si>
  <si>
    <t>7724152603</t>
  </si>
  <si>
    <t>ТЛ-3150</t>
  </si>
  <si>
    <t>1000061266</t>
  </si>
  <si>
    <t>ООО "Кодас"</t>
  </si>
  <si>
    <t>2466270045</t>
  </si>
  <si>
    <t>1000061987</t>
  </si>
  <si>
    <t>ООО "Союз-Прибор"</t>
  </si>
  <si>
    <t>1657012967</t>
  </si>
  <si>
    <t>Арина Ивановна Бахтина</t>
  </si>
  <si>
    <t>1000062680</t>
  </si>
  <si>
    <t>ООО "Экспосервиссибирь"</t>
  </si>
  <si>
    <t>2465310440</t>
  </si>
  <si>
    <t>91</t>
  </si>
  <si>
    <t>1000063828</t>
  </si>
  <si>
    <t>ООО "Пласткомплект-ДВ"</t>
  </si>
  <si>
    <t>2724166156</t>
  </si>
  <si>
    <t>1000064027</t>
  </si>
  <si>
    <t>АО "ТД Тракт"</t>
  </si>
  <si>
    <t>7723627621</t>
  </si>
  <si>
    <t>Татьяна Анатольевна Божевольская</t>
  </si>
  <si>
    <t>244ММК-ЛГ/ПГРЭС</t>
  </si>
  <si>
    <t>Марина Юрьевна Михайлова</t>
  </si>
  <si>
    <t>282ММК-НМ/ГРЭС</t>
  </si>
  <si>
    <t>1000065030</t>
  </si>
  <si>
    <t>4217100015</t>
  </si>
  <si>
    <t>Евгений Анатольевич Королёв</t>
  </si>
  <si>
    <t>1000065746</t>
  </si>
  <si>
    <t>ООО Завод "Электроконтактор"</t>
  </si>
  <si>
    <t>7449103861</t>
  </si>
  <si>
    <t>ЦБ-10298</t>
  </si>
  <si>
    <t>1000066206</t>
  </si>
  <si>
    <t>2721109181</t>
  </si>
  <si>
    <t>Алексей Николаевич Савуляк</t>
  </si>
  <si>
    <t>1000067412</t>
  </si>
  <si>
    <t>ООО "РТИТС"</t>
  </si>
  <si>
    <t>7704869777</t>
  </si>
  <si>
    <t>Артём Леонидович Неборский</t>
  </si>
  <si>
    <t>1000067816</t>
  </si>
  <si>
    <t>ООО "Инвестпроекты"</t>
  </si>
  <si>
    <t>7728734000</t>
  </si>
  <si>
    <t>1000067997</t>
  </si>
  <si>
    <t>ООО "ТД "Тема"</t>
  </si>
  <si>
    <t>1901128456</t>
  </si>
  <si>
    <t>1000068441</t>
  </si>
  <si>
    <t>ООО "РН-Карт"</t>
  </si>
  <si>
    <t>7743529527</t>
  </si>
  <si>
    <t>34560424/020774</t>
  </si>
  <si>
    <t>1000068935</t>
  </si>
  <si>
    <t>ООО "Восток-Сервис"</t>
  </si>
  <si>
    <t>7107110601</t>
  </si>
  <si>
    <t>Екатерина Владимировна Сычева</t>
  </si>
  <si>
    <t>1000068958</t>
  </si>
  <si>
    <t>ООО "Красноярск-Восток-Сервис"</t>
  </si>
  <si>
    <t>2465141840</t>
  </si>
  <si>
    <t>177ММК-КР/ТЭЦ-3</t>
  </si>
  <si>
    <t>1000069303</t>
  </si>
  <si>
    <t>ООО "Ситилинк"</t>
  </si>
  <si>
    <t>7718979307</t>
  </si>
  <si>
    <t>СИБЭРСИБЭМ-25/3024</t>
  </si>
  <si>
    <t>1000069337</t>
  </si>
  <si>
    <t>ООО "Восток-Сервис-Владивосток"</t>
  </si>
  <si>
    <t>2543075490</t>
  </si>
  <si>
    <t>437ММК-ЛГ/ПГРЭС</t>
  </si>
  <si>
    <t>1000069600</t>
  </si>
  <si>
    <t>ООО "Всеинструменты.Ру"</t>
  </si>
  <si>
    <t>7722753969</t>
  </si>
  <si>
    <t>Илья Анатольевич Пильщиков</t>
  </si>
  <si>
    <t>Анна Андреевна Яковлева</t>
  </si>
  <si>
    <t>24/0626-14А</t>
  </si>
  <si>
    <t>Денис Геннадьевич Апин</t>
  </si>
  <si>
    <t>85ММК-КР/ТЭЦ-3</t>
  </si>
  <si>
    <t>1000070077</t>
  </si>
  <si>
    <t>ООО "Группа-7"</t>
  </si>
  <si>
    <t>2463221836</t>
  </si>
  <si>
    <t>СИБЭРСИБЭМ-25/7693</t>
  </si>
  <si>
    <t>1000070121</t>
  </si>
  <si>
    <t>ООО "ТМК"</t>
  </si>
  <si>
    <t>5257008032</t>
  </si>
  <si>
    <t>ТК000040546</t>
  </si>
  <si>
    <t>1000070288</t>
  </si>
  <si>
    <t>ООО "Плазма-НК"</t>
  </si>
  <si>
    <t>4217136646</t>
  </si>
  <si>
    <t>ММКС-24/250</t>
  </si>
  <si>
    <t>1000070483</t>
  </si>
  <si>
    <t>ООО "КЕХ Екоммерц"</t>
  </si>
  <si>
    <t>7710668349</t>
  </si>
  <si>
    <t>02-1455927578</t>
  </si>
  <si>
    <t>1000071506</t>
  </si>
  <si>
    <t>ФГУП "ФЭО"</t>
  </si>
  <si>
    <t>4714004270</t>
  </si>
  <si>
    <t>170990</t>
  </si>
  <si>
    <t>Наталья Викторовна Колпакова</t>
  </si>
  <si>
    <t>1000071585</t>
  </si>
  <si>
    <t>ПАО СК "Росгосстрах"</t>
  </si>
  <si>
    <t>7707067683</t>
  </si>
  <si>
    <t>1000071921</t>
  </si>
  <si>
    <t>ООО "УК УЭС"</t>
  </si>
  <si>
    <t>7117028603</t>
  </si>
  <si>
    <t>СИБЭРСИБЭМ-21/6203</t>
  </si>
  <si>
    <t>1000072769</t>
  </si>
  <si>
    <t>ООО "Рутектор"</t>
  </si>
  <si>
    <t>2312103020</t>
  </si>
  <si>
    <t>Анна Евгеньевна Родионова</t>
  </si>
  <si>
    <t>1000073312</t>
  </si>
  <si>
    <t>ООО "Техномакс-Красноярск"</t>
  </si>
  <si>
    <t>2460248300</t>
  </si>
  <si>
    <t>1000073647</t>
  </si>
  <si>
    <t>ООО "ЗТИ"</t>
  </si>
  <si>
    <t>2462044341</t>
  </si>
  <si>
    <t>223ММК-КР/ТЭЦ-3-1</t>
  </si>
  <si>
    <t>1000074278</t>
  </si>
  <si>
    <t>ООО "ЭФ-ТЭК"</t>
  </si>
  <si>
    <t>7731578294</t>
  </si>
  <si>
    <t>СИБЭРСИБЭМ-25/7118</t>
  </si>
  <si>
    <t>Александр Евгеньевич Овчинников</t>
  </si>
  <si>
    <t>1000074473</t>
  </si>
  <si>
    <t>ООО "Про Капитал Сибирь"</t>
  </si>
  <si>
    <t>5404307131</t>
  </si>
  <si>
    <t>1000074638</t>
  </si>
  <si>
    <t>ООО ТК "Энергия"</t>
  </si>
  <si>
    <t>2466166559</t>
  </si>
  <si>
    <t>1000074951</t>
  </si>
  <si>
    <t>ООО "Вектра"</t>
  </si>
  <si>
    <t>6678032184</t>
  </si>
  <si>
    <t>за кронштейн Крск</t>
  </si>
  <si>
    <t>1000075125</t>
  </si>
  <si>
    <t>Филиал АО "РЖД Логистика"в г. Новосибирске</t>
  </si>
  <si>
    <t>7708730092</t>
  </si>
  <si>
    <t>54-1296/24</t>
  </si>
  <si>
    <t>1000075271</t>
  </si>
  <si>
    <t>ООО "Профснаб"</t>
  </si>
  <si>
    <t>2724215325</t>
  </si>
  <si>
    <t>1000075866</t>
  </si>
  <si>
    <t>ООО "СК"</t>
  </si>
  <si>
    <t>2465132902</t>
  </si>
  <si>
    <t>1000077722</t>
  </si>
  <si>
    <t>ООО "ТД "ПРОММАРКЕТ"</t>
  </si>
  <si>
    <t>2204083915</t>
  </si>
  <si>
    <t>1000077741</t>
  </si>
  <si>
    <t>ООО "ТД "Электротехмонтаж"</t>
  </si>
  <si>
    <t>7804526950</t>
  </si>
  <si>
    <t>1000077793</t>
  </si>
  <si>
    <t>3810310687</t>
  </si>
  <si>
    <t>Евгений Сергеевич Важенин</t>
  </si>
  <si>
    <t>1000077898</t>
  </si>
  <si>
    <t>ООО "Комус"</t>
  </si>
  <si>
    <t>7721793895</t>
  </si>
  <si>
    <t>Елена Владимировна Бикаева</t>
  </si>
  <si>
    <t>1000077959</t>
  </si>
  <si>
    <t>ООО "Техсервис-Хабаровск"</t>
  </si>
  <si>
    <t>2724218319</t>
  </si>
  <si>
    <t>1000077961</t>
  </si>
  <si>
    <t>ООО "Спецэлектродсервис"</t>
  </si>
  <si>
    <t>2465148892</t>
  </si>
  <si>
    <t>М36-004709</t>
  </si>
  <si>
    <t>1000078229</t>
  </si>
  <si>
    <t>ООО "РЕГ.РУ"</t>
  </si>
  <si>
    <t>7733568767</t>
  </si>
  <si>
    <t>1000078246</t>
  </si>
  <si>
    <t>ООО "ДИОКСИД"</t>
  </si>
  <si>
    <t>6672230486</t>
  </si>
  <si>
    <t>204ММК-КР/ТЭЦ-3</t>
  </si>
  <si>
    <t>1000078714</t>
  </si>
  <si>
    <t>Филиал Дальневосточный ООО "ДНС Ритейл"</t>
  </si>
  <si>
    <t>2540167061</t>
  </si>
  <si>
    <t>1000078855</t>
  </si>
  <si>
    <t>Восточносибирский филиал ООО "ДНС Ритейл"</t>
  </si>
  <si>
    <t>1000078961</t>
  </si>
  <si>
    <t>ООО "ДНС Ритейл"</t>
  </si>
  <si>
    <t>1000078989</t>
  </si>
  <si>
    <t>ФАУ НИА</t>
  </si>
  <si>
    <t>7706114267</t>
  </si>
  <si>
    <t>Анастасия Константиновна Белоусова</t>
  </si>
  <si>
    <t>1000079055</t>
  </si>
  <si>
    <t>ООО "Яндекс.Такси"</t>
  </si>
  <si>
    <t>7704340310</t>
  </si>
  <si>
    <t>4768802/22</t>
  </si>
  <si>
    <t>1000079103</t>
  </si>
  <si>
    <t>ООО "М-Инвест"</t>
  </si>
  <si>
    <t>7743553167</t>
  </si>
  <si>
    <t>1000079201</t>
  </si>
  <si>
    <t>АО "ПБК"</t>
  </si>
  <si>
    <t>7707387700</t>
  </si>
  <si>
    <t>СИБЭИ-16/348</t>
  </si>
  <si>
    <t>1000079475</t>
  </si>
  <si>
    <t>ООО "Кэпт Налоги И Консультирование"</t>
  </si>
  <si>
    <t>7703041155</t>
  </si>
  <si>
    <t>C-MNIK-25-02435</t>
  </si>
  <si>
    <t>Сергей Валерьевич Марков</t>
  </si>
  <si>
    <t>1000079499</t>
  </si>
  <si>
    <t>ООО "АртСтрой"</t>
  </si>
  <si>
    <t>2462218904</t>
  </si>
  <si>
    <t>СИБЭРСИБЭМ-23/2595</t>
  </si>
  <si>
    <t>1000079847</t>
  </si>
  <si>
    <t>ООО "Академшина"</t>
  </si>
  <si>
    <t>5408001306</t>
  </si>
  <si>
    <t>1000079905</t>
  </si>
  <si>
    <t>ООО "ВТ"</t>
  </si>
  <si>
    <t>2465239155</t>
  </si>
  <si>
    <t>СИБЭРСИБЭМ-25/4106</t>
  </si>
  <si>
    <t>1000080042</t>
  </si>
  <si>
    <t>ООО "Компания Индастри"</t>
  </si>
  <si>
    <t>7447266116</t>
  </si>
  <si>
    <t>Алексей Петрович Петренко</t>
  </si>
  <si>
    <t>1000080367</t>
  </si>
  <si>
    <t>ООО "Газпромнефть-Региональные продажи"</t>
  </si>
  <si>
    <t>4703105075</t>
  </si>
  <si>
    <t>СИБЭРСИБЭМ-21/4881</t>
  </si>
  <si>
    <t>Николай Николаевич Ануфриевский</t>
  </si>
  <si>
    <t>1000080756</t>
  </si>
  <si>
    <t>ООО "Экодар-Ипм"</t>
  </si>
  <si>
    <t>7710563113</t>
  </si>
  <si>
    <t>345734/Д1</t>
  </si>
  <si>
    <t>1000080785</t>
  </si>
  <si>
    <t>1000081721</t>
  </si>
  <si>
    <t>ООО "Пауэрз"</t>
  </si>
  <si>
    <t>5310017684</t>
  </si>
  <si>
    <t>СИБЭРСИБЭМ-21/4301</t>
  </si>
  <si>
    <t>СИБЭРСИБЭМ-24/1904</t>
  </si>
  <si>
    <t>1000082277</t>
  </si>
  <si>
    <t>ООО "Сониктранс"</t>
  </si>
  <si>
    <t>2722104267</t>
  </si>
  <si>
    <t>25ST-19/Г</t>
  </si>
  <si>
    <t>1000082698</t>
  </si>
  <si>
    <t>ООО "ТД МХЗ"</t>
  </si>
  <si>
    <t>7805610386</t>
  </si>
  <si>
    <t>1000082731</t>
  </si>
  <si>
    <t>Филиал Западносибирский ООО "ДНС Ритейл"</t>
  </si>
  <si>
    <t>1000083040</t>
  </si>
  <si>
    <t>ООО "Гормаш"</t>
  </si>
  <si>
    <t>5406381927</t>
  </si>
  <si>
    <t>СИБЭРСИБЭМ-17/58</t>
  </si>
  <si>
    <t>6210820000</t>
  </si>
  <si>
    <t>Расч.с покуп.и заказ.за реализ. внеобор.активы-ВР</t>
  </si>
  <si>
    <t>Олеся Николаевна Коваль</t>
  </si>
  <si>
    <t>1000084101</t>
  </si>
  <si>
    <t>ООО ГК "ТСК"</t>
  </si>
  <si>
    <t>2465131056</t>
  </si>
  <si>
    <t>ММКС-24/276</t>
  </si>
  <si>
    <t>Елена Михайловна Панова</t>
  </si>
  <si>
    <t>1000084583</t>
  </si>
  <si>
    <t>ООО "Атлант+"</t>
  </si>
  <si>
    <t>2457068058</t>
  </si>
  <si>
    <t>СИБЭИ-16/56</t>
  </si>
  <si>
    <t>Евгений Александрович Вычужанин</t>
  </si>
  <si>
    <t>1000084826</t>
  </si>
  <si>
    <t>ООО "Фарпост"</t>
  </si>
  <si>
    <t>2536133126</t>
  </si>
  <si>
    <t>1000084914</t>
  </si>
  <si>
    <t>ООО "СИБ-СТВ"</t>
  </si>
  <si>
    <t>2463080127</t>
  </si>
  <si>
    <t>1000085066</t>
  </si>
  <si>
    <t>ООО "Мосивент"</t>
  </si>
  <si>
    <t>7706816080</t>
  </si>
  <si>
    <t>1000085128</t>
  </si>
  <si>
    <t>ООО ТД "Бригформ"</t>
  </si>
  <si>
    <t>2465146655</t>
  </si>
  <si>
    <t>1000085319</t>
  </si>
  <si>
    <t>ООО "ГИДРОТЕХ"</t>
  </si>
  <si>
    <t>7710438955</t>
  </si>
  <si>
    <t>СИБЭРСИБЭМ-25/5420</t>
  </si>
  <si>
    <t>1000085667</t>
  </si>
  <si>
    <t>ООО "Красбетон"</t>
  </si>
  <si>
    <t>2465298680</t>
  </si>
  <si>
    <t>40-2024</t>
  </si>
  <si>
    <t>1000085697</t>
  </si>
  <si>
    <t>ООО ПФ "ЭЛТЕСТ"</t>
  </si>
  <si>
    <t>5406228005</t>
  </si>
  <si>
    <t>1000086051</t>
  </si>
  <si>
    <t>ООО "Дедал Плюс"</t>
  </si>
  <si>
    <t>2465320705</t>
  </si>
  <si>
    <t>1000086265</t>
  </si>
  <si>
    <t>ГБУЗ НСО "НОКНД"</t>
  </si>
  <si>
    <t>5407136445</t>
  </si>
  <si>
    <t>25-243</t>
  </si>
  <si>
    <t>Анна Евгеньевна Ланских</t>
  </si>
  <si>
    <t>1000086461</t>
  </si>
  <si>
    <t>ООО "Регард МСК"</t>
  </si>
  <si>
    <t>7730234438</t>
  </si>
  <si>
    <t>1000086540</t>
  </si>
  <si>
    <t>ООО "Ерсм Сибири"</t>
  </si>
  <si>
    <t>2463242025</t>
  </si>
  <si>
    <t>СИБЭРСИБЭМ-22/4399</t>
  </si>
  <si>
    <t>1000086565</t>
  </si>
  <si>
    <t>ООО НТЦ "КОНТЕСТ"</t>
  </si>
  <si>
    <t>3327121760</t>
  </si>
  <si>
    <t>НТЦ-09838</t>
  </si>
  <si>
    <t>НТЦ-09843</t>
  </si>
  <si>
    <t>Екатерина Евгеньевна Обвинцева</t>
  </si>
  <si>
    <t>1000086887</t>
  </si>
  <si>
    <t>ООО "Кузнецкавто"</t>
  </si>
  <si>
    <t>4205356076</t>
  </si>
  <si>
    <t>1000087413</t>
  </si>
  <si>
    <t>ООО "Промнефтегаз"</t>
  </si>
  <si>
    <t>7451315567</t>
  </si>
  <si>
    <t>1000087692</t>
  </si>
  <si>
    <t>ООО "МЭЩ"</t>
  </si>
  <si>
    <t>7731286291</t>
  </si>
  <si>
    <t>СИБЭРСИБЭМ-22/5718</t>
  </si>
  <si>
    <t>1000087869</t>
  </si>
  <si>
    <t>ООО "Стройлесинвест"</t>
  </si>
  <si>
    <t>2461026036</t>
  </si>
  <si>
    <t>5108</t>
  </si>
  <si>
    <t>1000087886</t>
  </si>
  <si>
    <t>ООО "РСС Красноярск"</t>
  </si>
  <si>
    <t>2463239086</t>
  </si>
  <si>
    <t>1000088339</t>
  </si>
  <si>
    <t>ООО "СГТ"</t>
  </si>
  <si>
    <t>2462043468</t>
  </si>
  <si>
    <t>ММКС-24/179</t>
  </si>
  <si>
    <t>1000088661</t>
  </si>
  <si>
    <t>АО "САТУРН КРАСНОЯРСК"</t>
  </si>
  <si>
    <t>2465155970</t>
  </si>
  <si>
    <t>1000089010</t>
  </si>
  <si>
    <t>ООО "Дельта-Инжиниринг"</t>
  </si>
  <si>
    <t>7453286329</t>
  </si>
  <si>
    <t>1000089244</t>
  </si>
  <si>
    <t>ООО "ЭМС ЗАПАДНАЯ СИБИРЬ"</t>
  </si>
  <si>
    <t>2222843990</t>
  </si>
  <si>
    <t>СИБЭРСИБЭМ-24/2802</t>
  </si>
  <si>
    <t>1000089540</t>
  </si>
  <si>
    <t>ООО "ПТК "Нефтепромкомплект"</t>
  </si>
  <si>
    <t>6671049767</t>
  </si>
  <si>
    <t>НПК-73</t>
  </si>
  <si>
    <t>1000089670</t>
  </si>
  <si>
    <t>ООО "СЭМИ"</t>
  </si>
  <si>
    <t>4252003656</t>
  </si>
  <si>
    <t>СИБЭРСИБЭМ-25/1499</t>
  </si>
  <si>
    <t>Василий Юрьевич Мацук</t>
  </si>
  <si>
    <t>СИБЭРСИБЭМ-25/718</t>
  </si>
  <si>
    <t>1000089678</t>
  </si>
  <si>
    <t>СРО АСП Союз "Проекты Сибири"</t>
  </si>
  <si>
    <t>2461002003</t>
  </si>
  <si>
    <t>1000089834</t>
  </si>
  <si>
    <t>ООО "Модульные Системы Торнадо"</t>
  </si>
  <si>
    <t>5408005710</t>
  </si>
  <si>
    <t>СИБЭРСИБЭМ-23/2213</t>
  </si>
  <si>
    <t>СИБЭРСИБЭМ-24/3032</t>
  </si>
  <si>
    <t>СИБЭРСИБЭМ-25/2475</t>
  </si>
  <si>
    <t>СИБЭРСИБЭМ-25/4786</t>
  </si>
  <si>
    <t>СИБЭРСИБЭМ-25/8316</t>
  </si>
  <si>
    <t>Рауф Имранович Насибов</t>
  </si>
  <si>
    <t>1000089897</t>
  </si>
  <si>
    <t>ООО "ГК "Сибирьэнергоинжиниринг"</t>
  </si>
  <si>
    <t>2464264800</t>
  </si>
  <si>
    <t>1261ГК-НК/ТЭЦ-2(II)</t>
  </si>
  <si>
    <t>1266ГК-КР/ТЭЦ-3 (СИБЭР)</t>
  </si>
  <si>
    <t>1267ГК-КР/ТЭЦ-3 (ТКЗ)</t>
  </si>
  <si>
    <t>627ГК-КР/ТЭЦ-3 (ТКЗ)</t>
  </si>
  <si>
    <t>745ГК-НК/ТЭЦ-2 (1,2)</t>
  </si>
  <si>
    <t>922ГК-КР/ТЭЦ-3(СИБЭР)</t>
  </si>
  <si>
    <t>ММК-03</t>
  </si>
  <si>
    <t>СИБЭРСИБЭМ-21/5348</t>
  </si>
  <si>
    <t>Владислав Сергеевич Седых</t>
  </si>
  <si>
    <t>СИБЭРСИБЭМ-21/5355</t>
  </si>
  <si>
    <t>Семен Николаевич Протасов</t>
  </si>
  <si>
    <t>СИБЭРСИБЭМ-21/5755</t>
  </si>
  <si>
    <t>1000090565</t>
  </si>
  <si>
    <t>000-941177</t>
  </si>
  <si>
    <t>Анастасия Владимировна Солопова</t>
  </si>
  <si>
    <t>1000091044</t>
  </si>
  <si>
    <t>ООО "СтальИнвест"</t>
  </si>
  <si>
    <t>2465135237</t>
  </si>
  <si>
    <t>1000091599</t>
  </si>
  <si>
    <t>ООО "Дом Куприяна"</t>
  </si>
  <si>
    <t>2460000123</t>
  </si>
  <si>
    <t>1000092399</t>
  </si>
  <si>
    <t>ООО "УралТЭП"</t>
  </si>
  <si>
    <t>6670483643</t>
  </si>
  <si>
    <t>СИБЭРСИБЭМ-21/4648</t>
  </si>
  <si>
    <t>Азат Фанузович Нуруллин</t>
  </si>
  <si>
    <t>СИБЭРСИБЭМ-22/6293</t>
  </si>
  <si>
    <t>СИБЭРСИБЭМ-23/3182</t>
  </si>
  <si>
    <t>Владимир Александрович Захаров</t>
  </si>
  <si>
    <t>СИБЭРСИБЭМ-23/3210</t>
  </si>
  <si>
    <t>СИБЭРСИБЭМ-23/3215</t>
  </si>
  <si>
    <t>СИБЭРСИБЭМ-23/3287</t>
  </si>
  <si>
    <t>Антон Александрович Лесков</t>
  </si>
  <si>
    <t>СИБЭРСИБЭМ-23/3477</t>
  </si>
  <si>
    <t>Александр Владимирович Тарасенко</t>
  </si>
  <si>
    <t>СИБЭРСИБЭМ-24/1195</t>
  </si>
  <si>
    <t>1000092803</t>
  </si>
  <si>
    <t>ООО "Каскад"</t>
  </si>
  <si>
    <t>7719694625</t>
  </si>
  <si>
    <t>СИБЭРСИБЭМ-20/1795</t>
  </si>
  <si>
    <t>Константин Владимирович Чирликов</t>
  </si>
  <si>
    <t>1000093098</t>
  </si>
  <si>
    <t>ООО "Промгаз"</t>
  </si>
  <si>
    <t>5403045885</t>
  </si>
  <si>
    <t>1000093430</t>
  </si>
  <si>
    <t>ООО "Перспектива"</t>
  </si>
  <si>
    <t>2464147840</t>
  </si>
  <si>
    <t>СИБЭРСИБЭМ-21/2229</t>
  </si>
  <si>
    <t>1000093447</t>
  </si>
  <si>
    <t>ООО "Продос"</t>
  </si>
  <si>
    <t>2465233058</t>
  </si>
  <si>
    <t>1000093494</t>
  </si>
  <si>
    <t>ООО "Электропрогресс"</t>
  </si>
  <si>
    <t>7724935869</t>
  </si>
  <si>
    <t>1000094508</t>
  </si>
  <si>
    <t>ООО "Экология Пк"</t>
  </si>
  <si>
    <t>2543128825</t>
  </si>
  <si>
    <t>СИБЭРСИБЭМ-26/21</t>
  </si>
  <si>
    <t>1000094525</t>
  </si>
  <si>
    <t>АО "Дитсманн"</t>
  </si>
  <si>
    <t>2631040369</t>
  </si>
  <si>
    <t>СИБЭРСИБЭМ-24/2073</t>
  </si>
  <si>
    <t>Наталья Сергеевна Болотова</t>
  </si>
  <si>
    <t>1000094590</t>
  </si>
  <si>
    <t>2453012311</t>
  </si>
  <si>
    <t>1000094784</t>
  </si>
  <si>
    <t>ООО "Руфа"</t>
  </si>
  <si>
    <t>5445021999</t>
  </si>
  <si>
    <t>1000095357</t>
  </si>
  <si>
    <t>АО "Почта России"</t>
  </si>
  <si>
    <t>7724490000</t>
  </si>
  <si>
    <t>7120000345-ОФ</t>
  </si>
  <si>
    <t>Екатерина Владимировна Хромова</t>
  </si>
  <si>
    <t>7730016459-ОФ</t>
  </si>
  <si>
    <t>СИБЭИ-16/277/КР/3152</t>
  </si>
  <si>
    <t>Ирина Александровна Сальникова</t>
  </si>
  <si>
    <t>1000095515</t>
  </si>
  <si>
    <t>ООО "КСК"</t>
  </si>
  <si>
    <t>2465297735</t>
  </si>
  <si>
    <t>1000095571</t>
  </si>
  <si>
    <t>УФПС Приморского края АО "Почта России"</t>
  </si>
  <si>
    <t>Д/1283/01/2021</t>
  </si>
  <si>
    <t>Юлия Сергеевна Капелька</t>
  </si>
  <si>
    <t>1000095882</t>
  </si>
  <si>
    <t>2460217895</t>
  </si>
  <si>
    <t>СИБЭРСИБЭМ-22/2731</t>
  </si>
  <si>
    <t>СИБЭРСИБЭМ-22/3763</t>
  </si>
  <si>
    <t>1000095893</t>
  </si>
  <si>
    <t>ООО "Новосибклимат"</t>
  </si>
  <si>
    <t>5408017419</t>
  </si>
  <si>
    <t>1000096611</t>
  </si>
  <si>
    <t>ООО "Аскинтех"</t>
  </si>
  <si>
    <t>7728355259</t>
  </si>
  <si>
    <t>СИБЭРСИБЭМ-21/5489/F-0161</t>
  </si>
  <si>
    <t>СИБЭРСИБЭМ-25/5252</t>
  </si>
  <si>
    <t>Алексей Николаевич Микейкин</t>
  </si>
  <si>
    <t>1000097442</t>
  </si>
  <si>
    <t>ООО "НЭМ"</t>
  </si>
  <si>
    <t>5401349327</t>
  </si>
  <si>
    <t>СИБЭРСИБЭМ-23/2529</t>
  </si>
  <si>
    <t>СИБЭРСИБЭМ-24/2297</t>
  </si>
  <si>
    <t>Вячеслав Александрович Губарь</t>
  </si>
  <si>
    <t>1000097455</t>
  </si>
  <si>
    <t>ООО "Энерго технология"</t>
  </si>
  <si>
    <t>7802144105</t>
  </si>
  <si>
    <t>СИБЭРСИБЭМ-24/4638/ЭТ-2024-208</t>
  </si>
  <si>
    <t>СИБЭРСИБЭМ-25/4286</t>
  </si>
  <si>
    <t>Дмитрий Михайлович Потылицын</t>
  </si>
  <si>
    <t>1000097805</t>
  </si>
  <si>
    <t>1000097982</t>
  </si>
  <si>
    <t>ООО " Нефтехимсервис"</t>
  </si>
  <si>
    <t>5406978505</t>
  </si>
  <si>
    <t>1000098265</t>
  </si>
  <si>
    <t>ООО "Кристалл"</t>
  </si>
  <si>
    <t>2466191410</t>
  </si>
  <si>
    <t>1000098801</t>
  </si>
  <si>
    <t>АО "Евраз Маркет"</t>
  </si>
  <si>
    <t>6154062128</t>
  </si>
  <si>
    <t>1000098814</t>
  </si>
  <si>
    <t>ООО "Медиапартнер-Абакан"</t>
  </si>
  <si>
    <t>1901072884</t>
  </si>
  <si>
    <t>1000099546</t>
  </si>
  <si>
    <t>ООО "КМС"</t>
  </si>
  <si>
    <t>2460105951</t>
  </si>
  <si>
    <t>СИБЭРСИБЭМ-21/5187</t>
  </si>
  <si>
    <t>7629000000</t>
  </si>
  <si>
    <t>Расчеты с прочими дебиторами (Др)</t>
  </si>
  <si>
    <t>1000100259</t>
  </si>
  <si>
    <t>ООО "ЛТ"</t>
  </si>
  <si>
    <t>7717152779</t>
  </si>
  <si>
    <t>СИБЭРСИБЭМ-24/5160</t>
  </si>
  <si>
    <t>Константин Сергеевич Калашников</t>
  </si>
  <si>
    <t>СИБЭРСИБЭМ-25/8717</t>
  </si>
  <si>
    <t>1000100506</t>
  </si>
  <si>
    <t>7726685798</t>
  </si>
  <si>
    <t>1000100578</t>
  </si>
  <si>
    <t>ООО "Дом Крепежа"</t>
  </si>
  <si>
    <t>4217195063</t>
  </si>
  <si>
    <t>Алексей Сергеевич Петров</t>
  </si>
  <si>
    <t>1000101493</t>
  </si>
  <si>
    <t>ООО "Меритель"</t>
  </si>
  <si>
    <t>7720456015</t>
  </si>
  <si>
    <t>1000101535</t>
  </si>
  <si>
    <t>5042120323</t>
  </si>
  <si>
    <t>СИБЭРСИБЭМ-25/2245</t>
  </si>
  <si>
    <t>Сергей Александрович Панов</t>
  </si>
  <si>
    <t>1000101641</t>
  </si>
  <si>
    <t>ООО "ТЭ"</t>
  </si>
  <si>
    <t>5261055814</t>
  </si>
  <si>
    <t>Екатерина Анатольевна Кулак</t>
  </si>
  <si>
    <t>1000101903</t>
  </si>
  <si>
    <t>ООО "Регионэнерго"</t>
  </si>
  <si>
    <t>5906131837</t>
  </si>
  <si>
    <t>88</t>
  </si>
  <si>
    <t>1000102262</t>
  </si>
  <si>
    <t>ООО "СТЭМ"</t>
  </si>
  <si>
    <t>2465133790</t>
  </si>
  <si>
    <t>СИБЭРСИБЭМ-23/2594</t>
  </si>
  <si>
    <t>СИБЭРСИБЭМ-25/4432</t>
  </si>
  <si>
    <t>Олег Васильевич Бескостный</t>
  </si>
  <si>
    <t>СИБЭРСИБЭМ-25/5406</t>
  </si>
  <si>
    <t>Никита Олегович Секутов</t>
  </si>
  <si>
    <t>СИБЭРСИБЭМ-25/5454</t>
  </si>
  <si>
    <t>1000102618</t>
  </si>
  <si>
    <t>ООО "Домашний Интерьер"</t>
  </si>
  <si>
    <t>7709770002</t>
  </si>
  <si>
    <t>1000102693</t>
  </si>
  <si>
    <t>ООО "1ПУ УЭМ"</t>
  </si>
  <si>
    <t>5904640701</t>
  </si>
  <si>
    <t>СИБЭРСИБЭМ-25/2705</t>
  </si>
  <si>
    <t>1000103258</t>
  </si>
  <si>
    <t>ООО "Кавек"</t>
  </si>
  <si>
    <t>2466258619</t>
  </si>
  <si>
    <t>1000103667</t>
  </si>
  <si>
    <t>ООО "БЗЭО"</t>
  </si>
  <si>
    <t>2221125058</t>
  </si>
  <si>
    <t>СИБЭРСИБЭМ-23/1557</t>
  </si>
  <si>
    <t>1000103794</t>
  </si>
  <si>
    <t>ООО "ПЖК"</t>
  </si>
  <si>
    <t>2526007475</t>
  </si>
  <si>
    <t>СИБЭРСИБЭМ-22/1824</t>
  </si>
  <si>
    <t>Татьяна Александровна Шипилова</t>
  </si>
  <si>
    <t>1000103821</t>
  </si>
  <si>
    <t>ООО "ЛТВ"</t>
  </si>
  <si>
    <t>2526003022</t>
  </si>
  <si>
    <t>1000104971</t>
  </si>
  <si>
    <t>ООО "Энергоспецстрой"</t>
  </si>
  <si>
    <t>2466178434</t>
  </si>
  <si>
    <t>65</t>
  </si>
  <si>
    <t>1000105097</t>
  </si>
  <si>
    <t>ООО "ВОСТОКГЕРМЕТИК"</t>
  </si>
  <si>
    <t>2801175870</t>
  </si>
  <si>
    <t>А33-14394/2023</t>
  </si>
  <si>
    <t>1000105100</t>
  </si>
  <si>
    <t>2722052259</t>
  </si>
  <si>
    <t>СИБЭРСИБЭМ-24/3547</t>
  </si>
  <si>
    <t>1000105103</t>
  </si>
  <si>
    <t>2703097800</t>
  </si>
  <si>
    <t>СИБЭРСИБЭМ-25/158</t>
  </si>
  <si>
    <t>1000105165</t>
  </si>
  <si>
    <t>ООО "Самосваловъ"</t>
  </si>
  <si>
    <t>2465311676</t>
  </si>
  <si>
    <t>165ММК-КР/ТЭЦ-3</t>
  </si>
  <si>
    <t>1000105440</t>
  </si>
  <si>
    <t>ООО "Новосфера"</t>
  </si>
  <si>
    <t>7116154965</t>
  </si>
  <si>
    <t>44-24</t>
  </si>
  <si>
    <t>Андрей Евгеньевич Бортников</t>
  </si>
  <si>
    <t>1000105573</t>
  </si>
  <si>
    <t>ООО "Компания "Тензор"</t>
  </si>
  <si>
    <t>7605016030</t>
  </si>
  <si>
    <t>1000105625</t>
  </si>
  <si>
    <t>ООО "Компания КЭСК"</t>
  </si>
  <si>
    <t>2466231889</t>
  </si>
  <si>
    <t>Александр Иванович Комков</t>
  </si>
  <si>
    <t>1000105666</t>
  </si>
  <si>
    <t>ООО "ГК "ВИСТА"</t>
  </si>
  <si>
    <t>7107543027</t>
  </si>
  <si>
    <t>1000105671</t>
  </si>
  <si>
    <t>ООО "МСК-НТ"</t>
  </si>
  <si>
    <t>7734699480</t>
  </si>
  <si>
    <t>0692-2024/Н/ПРО</t>
  </si>
  <si>
    <t>Адылькан Муратович Тайманов</t>
  </si>
  <si>
    <t>0839-2025/Н/ПРО</t>
  </si>
  <si>
    <t>1000105901</t>
  </si>
  <si>
    <t>ООО "ДСК-25"</t>
  </si>
  <si>
    <t>2526006640</t>
  </si>
  <si>
    <t>СИБЭРСИБЭМ-21/6403</t>
  </si>
  <si>
    <t>1000105963</t>
  </si>
  <si>
    <t>ООО "Сибтек"</t>
  </si>
  <si>
    <t>4253011321</t>
  </si>
  <si>
    <t>1000105976</t>
  </si>
  <si>
    <t>ООО "Электролаб"</t>
  </si>
  <si>
    <t>5911997452</t>
  </si>
  <si>
    <t>1000106195</t>
  </si>
  <si>
    <t>ООО "ПТК ЗЖБИ-4"</t>
  </si>
  <si>
    <t>5401206632</t>
  </si>
  <si>
    <t>Юлия Андреевна Григорьева</t>
  </si>
  <si>
    <t>1000106732</t>
  </si>
  <si>
    <t>ООО "Инжиниринг Энергосистем"</t>
  </si>
  <si>
    <t>5407954257</t>
  </si>
  <si>
    <t>СИБЭРСИБЭМ-25/2331</t>
  </si>
  <si>
    <t>1000106754</t>
  </si>
  <si>
    <t>АО "Абаканская ТЭЦ"</t>
  </si>
  <si>
    <t>1900000252</t>
  </si>
  <si>
    <t>АБТЭЦ-25/991/СИБЭР/05-25/2501</t>
  </si>
  <si>
    <t>Александр Николаевич Кириллов</t>
  </si>
  <si>
    <t>СИБЭРСИБЭМ-25/4703</t>
  </si>
  <si>
    <t>1000106820</t>
  </si>
  <si>
    <t>ООО "АРМАСЕТИ ИМПОРТ"</t>
  </si>
  <si>
    <t>7725363283</t>
  </si>
  <si>
    <t>1000106926</t>
  </si>
  <si>
    <t>ООО "Саянсвязьсервис"</t>
  </si>
  <si>
    <t>1902014275</t>
  </si>
  <si>
    <t>СИБЭРСИБЭМ-23/2639</t>
  </si>
  <si>
    <t>Евгений Александрович Овчинников</t>
  </si>
  <si>
    <t>1000107014</t>
  </si>
  <si>
    <t>ООО "Полинерго"</t>
  </si>
  <si>
    <t>5252041004</t>
  </si>
  <si>
    <t>1000107637</t>
  </si>
  <si>
    <t>ООО "Юником"</t>
  </si>
  <si>
    <t>2463214275</t>
  </si>
  <si>
    <t>1000107786</t>
  </si>
  <si>
    <t>ООО "Лучегорская ТК"</t>
  </si>
  <si>
    <t>2526006344</t>
  </si>
  <si>
    <t>СИБЭРСИБЭМ-25/1150</t>
  </si>
  <si>
    <t>Александр Владимирович Бессонов</t>
  </si>
  <si>
    <t>1000108702</t>
  </si>
  <si>
    <t>ООО "1 Стройцентр Сатурн-Р"</t>
  </si>
  <si>
    <t>5902240063</t>
  </si>
  <si>
    <t>336ММК-КР/ТЭЦ-3</t>
  </si>
  <si>
    <t>1000109588</t>
  </si>
  <si>
    <t>ООО "Пикап-Комплект"</t>
  </si>
  <si>
    <t>7726675126</t>
  </si>
  <si>
    <t>1000109931</t>
  </si>
  <si>
    <t>ООО "НПО Стальпром"</t>
  </si>
  <si>
    <t>5262337000</t>
  </si>
  <si>
    <t>3616</t>
  </si>
  <si>
    <t>507ММК-КР/ТЭЦ-3</t>
  </si>
  <si>
    <t>Татьяна Александровна Массон</t>
  </si>
  <si>
    <t>1000110503</t>
  </si>
  <si>
    <t>ООО "Манотек"</t>
  </si>
  <si>
    <t>7017465014</t>
  </si>
  <si>
    <t>399ММК-ЛГ/ПГРЭС</t>
  </si>
  <si>
    <t>Наталия Александровна Сухова</t>
  </si>
  <si>
    <t>1000110562</t>
  </si>
  <si>
    <t>ООО "Вираж Плюс"</t>
  </si>
  <si>
    <t>2466163879</t>
  </si>
  <si>
    <t>1000110799</t>
  </si>
  <si>
    <t>ООО "Аш-Трейд"</t>
  </si>
  <si>
    <t>7116158046</t>
  </si>
  <si>
    <t>Михаил Сергеевич Колечкин</t>
  </si>
  <si>
    <t>1000111184</t>
  </si>
  <si>
    <t>7725273632</t>
  </si>
  <si>
    <t>1000112479</t>
  </si>
  <si>
    <t>ООО "Краскрепеж +"</t>
  </si>
  <si>
    <t>2465313497</t>
  </si>
  <si>
    <t>1000113392</t>
  </si>
  <si>
    <t>ООО "Спецметаллстрой"</t>
  </si>
  <si>
    <t>5405955819</t>
  </si>
  <si>
    <t>СИБЭРСИБЭМ-25/3913</t>
  </si>
  <si>
    <t>СИБЭРСИБЭМ-25/3915</t>
  </si>
  <si>
    <t>1000114393</t>
  </si>
  <si>
    <t>ООО "РЭР"</t>
  </si>
  <si>
    <t>6673157856</t>
  </si>
  <si>
    <t>62</t>
  </si>
  <si>
    <t>63</t>
  </si>
  <si>
    <t>74</t>
  </si>
  <si>
    <t>СИБЭРСИБЭМ-25/8360</t>
  </si>
  <si>
    <t>1000114510</t>
  </si>
  <si>
    <t>ООО "Обогрев Люкс"</t>
  </si>
  <si>
    <t>7802783870</t>
  </si>
  <si>
    <t>1000114923</t>
  </si>
  <si>
    <t>ООО "Сателайт"</t>
  </si>
  <si>
    <t>2463082815</t>
  </si>
  <si>
    <t>1000114970</t>
  </si>
  <si>
    <t>2725059439</t>
  </si>
  <si>
    <t>1000116028</t>
  </si>
  <si>
    <t>ООО "ТКС"</t>
  </si>
  <si>
    <t>7107107937</t>
  </si>
  <si>
    <t>Алина Сергеевна Гришкова</t>
  </si>
  <si>
    <t>СИБЭРСИБЭМ-25/7058</t>
  </si>
  <si>
    <t>1000116096</t>
  </si>
  <si>
    <t>АО "Первомайский Завод ЖБИ"</t>
  </si>
  <si>
    <t>7116003892</t>
  </si>
  <si>
    <t>СИБЭРСИБЭМ-25/6723</t>
  </si>
  <si>
    <t>СИБЭРСИБЭМ-25/8748</t>
  </si>
  <si>
    <t>СИБЭРСИБЭМ-25/8970</t>
  </si>
  <si>
    <t>1000116927</t>
  </si>
  <si>
    <t>Новомосковский Институт(филиал)ФГБОУВО "РХТУ им. Д.И. Менделеева"</t>
  </si>
  <si>
    <t>7707072637</t>
  </si>
  <si>
    <t>02/ОХМ/24</t>
  </si>
  <si>
    <t>1000117339</t>
  </si>
  <si>
    <t>ООО "СибСтройКомплект"</t>
  </si>
  <si>
    <t>5401968623</t>
  </si>
  <si>
    <t>СИБЭРСИБЭМ-23/1473</t>
  </si>
  <si>
    <t>1000118179</t>
  </si>
  <si>
    <t>ООО "МК-ОФИС"</t>
  </si>
  <si>
    <t>7727328319</t>
  </si>
  <si>
    <t>1000119055</t>
  </si>
  <si>
    <t>ООО "ПК ЭНЕРГИЯ"</t>
  </si>
  <si>
    <t>2511101443</t>
  </si>
  <si>
    <t>1000121521</t>
  </si>
  <si>
    <t>ООО "АрМет24"</t>
  </si>
  <si>
    <t>2460115710</t>
  </si>
  <si>
    <t>1000121685</t>
  </si>
  <si>
    <t>ООО "Офисмаг-РТ"</t>
  </si>
  <si>
    <t>3662149706</t>
  </si>
  <si>
    <t>1000121917</t>
  </si>
  <si>
    <t>5401379138</t>
  </si>
  <si>
    <t>1000122330</t>
  </si>
  <si>
    <t>1000123207</t>
  </si>
  <si>
    <t>ООО "Комплексные Энергетические Решения"</t>
  </si>
  <si>
    <t>5038057975</t>
  </si>
  <si>
    <t>СИБЭРСИБЭМ-22/2043</t>
  </si>
  <si>
    <t>СИБЭРСИБЭМ-23/700</t>
  </si>
  <si>
    <t>1000123317</t>
  </si>
  <si>
    <t>ОП ООО "Энергосфера" в г. Хабаровск</t>
  </si>
  <si>
    <t>2536139985</t>
  </si>
  <si>
    <t>1000123519</t>
  </si>
  <si>
    <t>ООО "Контур"</t>
  </si>
  <si>
    <t>7805781293</t>
  </si>
  <si>
    <t>СИБЭРСИБЭМ-21/5693</t>
  </si>
  <si>
    <t>1000123634</t>
  </si>
  <si>
    <t>ЗАО "Гостиница"Россия"</t>
  </si>
  <si>
    <t>7116027318</t>
  </si>
  <si>
    <t>1000123700</t>
  </si>
  <si>
    <t>7725342646</t>
  </si>
  <si>
    <t>1000124156</t>
  </si>
  <si>
    <t>ООО "СОМ"</t>
  </si>
  <si>
    <t>7107096280</t>
  </si>
  <si>
    <t>1000125683</t>
  </si>
  <si>
    <t>ООО "Киасофт Кемерово"</t>
  </si>
  <si>
    <t>4205331000</t>
  </si>
  <si>
    <t>1000125948</t>
  </si>
  <si>
    <t>ООО ТД "Дегидрол"</t>
  </si>
  <si>
    <t>2464241715</t>
  </si>
  <si>
    <t>СИБЭРСИБЭМ-23/1335</t>
  </si>
  <si>
    <t>1000126347</t>
  </si>
  <si>
    <t>ООО "Инопт №1"</t>
  </si>
  <si>
    <t>2539098889</t>
  </si>
  <si>
    <t>Максим Алексеевич Гурский</t>
  </si>
  <si>
    <t>1000127283</t>
  </si>
  <si>
    <t>ООО "СПЕЦЦЕНТР"</t>
  </si>
  <si>
    <t>2411028687</t>
  </si>
  <si>
    <t>1000128282</t>
  </si>
  <si>
    <t>ООО "ЭДНА"</t>
  </si>
  <si>
    <t>7705658056</t>
  </si>
  <si>
    <t>1000128349</t>
  </si>
  <si>
    <t>ММКС-24/187</t>
  </si>
  <si>
    <t>Евгений Валериевич Дмитриев</t>
  </si>
  <si>
    <t>1000131708</t>
  </si>
  <si>
    <t>ООО СК "Авэга"</t>
  </si>
  <si>
    <t>5406984957</t>
  </si>
  <si>
    <t>СИБЭРСИБЭМ-23/1804</t>
  </si>
  <si>
    <t>Павел Семёнович Шелбогашев</t>
  </si>
  <si>
    <t>1000131834</t>
  </si>
  <si>
    <t>ООО "Деметра"</t>
  </si>
  <si>
    <t>2463109369</t>
  </si>
  <si>
    <t>1000133332</t>
  </si>
  <si>
    <t>АО "Фирма "Солид"</t>
  </si>
  <si>
    <t>7817014081</t>
  </si>
  <si>
    <t>1000133870</t>
  </si>
  <si>
    <t>АНО ДПО "СЦРС"</t>
  </si>
  <si>
    <t>2465195170</t>
  </si>
  <si>
    <t>Александра Вадимовна Лядова</t>
  </si>
  <si>
    <t>1000134115</t>
  </si>
  <si>
    <t>ООО "Бетонный завод № 1"</t>
  </si>
  <si>
    <t>2465319971</t>
  </si>
  <si>
    <t>СИБЭРСИБЭМ-23/1361</t>
  </si>
  <si>
    <t>1000135807</t>
  </si>
  <si>
    <t>ООО "Арэс"</t>
  </si>
  <si>
    <t>4217189905</t>
  </si>
  <si>
    <t>СИБЭРСИБЭМ-22/5928</t>
  </si>
  <si>
    <t>1000135915</t>
  </si>
  <si>
    <t>6455054593</t>
  </si>
  <si>
    <t>СИБЭРСИБЭМ-22/2883</t>
  </si>
  <si>
    <t>СИБЭРСИБЭМ-22/4096</t>
  </si>
  <si>
    <t>СИБЭРСИБЭМ-22/5396</t>
  </si>
  <si>
    <t>СИБЭРСИБЭМ-23/1098</t>
  </si>
  <si>
    <t>СИБЭРСИБЭМ-23/913</t>
  </si>
  <si>
    <t>1000136105</t>
  </si>
  <si>
    <t>ООО "Энерготехнология"</t>
  </si>
  <si>
    <t>5252047207</t>
  </si>
  <si>
    <t>1000136128</t>
  </si>
  <si>
    <t>АО "РИС Интерфакс"</t>
  </si>
  <si>
    <t>7710503080</t>
  </si>
  <si>
    <t>СИБ2/31412</t>
  </si>
  <si>
    <t>Анна Владимировна Бегеза</t>
  </si>
  <si>
    <t>1000136462</t>
  </si>
  <si>
    <t>ООО "Авторсталь"</t>
  </si>
  <si>
    <t>2404018624</t>
  </si>
  <si>
    <t>250ММК</t>
  </si>
  <si>
    <t>СИБЭРСИБЭМ-22/3091</t>
  </si>
  <si>
    <t>СИБЭРСИБЭМ-24/3347</t>
  </si>
  <si>
    <t>1000137116</t>
  </si>
  <si>
    <t>2443052121</t>
  </si>
  <si>
    <t>Роман Игоревич Збараг</t>
  </si>
  <si>
    <t>1000137322</t>
  </si>
  <si>
    <t>ООО "СпецЭмаль"</t>
  </si>
  <si>
    <t>7602066393</t>
  </si>
  <si>
    <t>1000138807</t>
  </si>
  <si>
    <t>ООО "ДВ СЕРВИС"</t>
  </si>
  <si>
    <t>2723179280</t>
  </si>
  <si>
    <t>1000139276</t>
  </si>
  <si>
    <t>ООО "КапиталСтрой"</t>
  </si>
  <si>
    <t>2709017382</t>
  </si>
  <si>
    <t>1000139831</t>
  </si>
  <si>
    <t>ООО "ЖЕЛЕЗНАЯ ЛОГИКА"</t>
  </si>
  <si>
    <t>6679076593</t>
  </si>
  <si>
    <t>ММК/КВ-01-09/5-118</t>
  </si>
  <si>
    <t>1000142075</t>
  </si>
  <si>
    <t>1000142218</t>
  </si>
  <si>
    <t>ООО "АТП СтройСервис"</t>
  </si>
  <si>
    <t>3917046805</t>
  </si>
  <si>
    <t>ММК-06</t>
  </si>
  <si>
    <t>Роман Сергеевич Григорьев</t>
  </si>
  <si>
    <t>1000143635</t>
  </si>
  <si>
    <t>ООО "Грузчиков Сервис Сибирь"</t>
  </si>
  <si>
    <t>2465089446</t>
  </si>
  <si>
    <t>Евгений Олегович Осадчий</t>
  </si>
  <si>
    <t>1000145559</t>
  </si>
  <si>
    <t>ООО "СК-Монтаж"</t>
  </si>
  <si>
    <t>4253022309</t>
  </si>
  <si>
    <t>СИБЭРСИБЭМ-22/5865</t>
  </si>
  <si>
    <t>1000146586</t>
  </si>
  <si>
    <t>ООО "Электропоставщик"</t>
  </si>
  <si>
    <t>9710008385</t>
  </si>
  <si>
    <t>1000146770</t>
  </si>
  <si>
    <t>ООО "СФЕРА НСК"</t>
  </si>
  <si>
    <t>5405064273</t>
  </si>
  <si>
    <t>Наталья Валерьевна Моисеенко</t>
  </si>
  <si>
    <t>1000148013</t>
  </si>
  <si>
    <t>ООО "Посейдон"</t>
  </si>
  <si>
    <t>5911082695</t>
  </si>
  <si>
    <t>Дарья Викторовна Дмитриева</t>
  </si>
  <si>
    <t>1000148619</t>
  </si>
  <si>
    <t>ООО "Зумлион Хэви Индустри Рус"</t>
  </si>
  <si>
    <t>5024143381</t>
  </si>
  <si>
    <t>01-30/2025</t>
  </si>
  <si>
    <t>1000148755</t>
  </si>
  <si>
    <t>ООО "Боярд-НСК"</t>
  </si>
  <si>
    <t>5403349308</t>
  </si>
  <si>
    <t>СИБЭРСИБЭМ-23/2378</t>
  </si>
  <si>
    <t>1000148779</t>
  </si>
  <si>
    <t>АО "Юуаз Стан-2000-М"</t>
  </si>
  <si>
    <t>9728044271</t>
  </si>
  <si>
    <t>1810-С-2024</t>
  </si>
  <si>
    <t>1000148852</t>
  </si>
  <si>
    <t>ООО "ИНКОМ"</t>
  </si>
  <si>
    <t>5405048560</t>
  </si>
  <si>
    <t>СИБЭРСИБЭМ-23/3386</t>
  </si>
  <si>
    <t>СИБЭРСИБЭМ-25/3871</t>
  </si>
  <si>
    <t>1000148978</t>
  </si>
  <si>
    <t>201427403</t>
  </si>
  <si>
    <t>Сергей Владимирович Кузнецов</t>
  </si>
  <si>
    <t>1000149720</t>
  </si>
  <si>
    <t>ООО "Грузовая Механика"</t>
  </si>
  <si>
    <t>2465274329</t>
  </si>
  <si>
    <t>ГКР00031845</t>
  </si>
  <si>
    <t>1000150355</t>
  </si>
  <si>
    <t>ООО "Эксперт Плюс"</t>
  </si>
  <si>
    <t>1686006816</t>
  </si>
  <si>
    <t>1491</t>
  </si>
  <si>
    <t>Тимофей Николаевич Беседовский</t>
  </si>
  <si>
    <t>1000151170</t>
  </si>
  <si>
    <t>ООО Ск "Ангара"</t>
  </si>
  <si>
    <t>2465327517</t>
  </si>
  <si>
    <t>1000151201</t>
  </si>
  <si>
    <t>ООО "Луис+"</t>
  </si>
  <si>
    <t>5040070405</t>
  </si>
  <si>
    <t>ЛП2024/0920-1</t>
  </si>
  <si>
    <t>Анна Васильевна Стециенко</t>
  </si>
  <si>
    <t>1000151430</t>
  </si>
  <si>
    <t>ООО "Зграда Монолит"</t>
  </si>
  <si>
    <t>7805781254</t>
  </si>
  <si>
    <t>1000152158</t>
  </si>
  <si>
    <t>ООО "Аст"</t>
  </si>
  <si>
    <t>2724203418</t>
  </si>
  <si>
    <t>1000152946</t>
  </si>
  <si>
    <t>ООО "Элком-Электро"</t>
  </si>
  <si>
    <t>7703214111</t>
  </si>
  <si>
    <t>ЭЭ/П-1508-24/1</t>
  </si>
  <si>
    <t>1000152991</t>
  </si>
  <si>
    <t>ООО "Бастион Финанс"</t>
  </si>
  <si>
    <t>7718058433</t>
  </si>
  <si>
    <t>125/24</t>
  </si>
  <si>
    <t>1000153084</t>
  </si>
  <si>
    <t>АНО Дпо "Университет Госзакупок"</t>
  </si>
  <si>
    <t>5408011872</t>
  </si>
  <si>
    <t>СИБЭРСИБЭМ-23/1444</t>
  </si>
  <si>
    <t>1000153227</t>
  </si>
  <si>
    <t>ООО "РСК Ростройгазпром"</t>
  </si>
  <si>
    <t>8904082629</t>
  </si>
  <si>
    <t>СИБЭРСИБЭМ-23/1480</t>
  </si>
  <si>
    <t>Павел Викторович Молибог</t>
  </si>
  <si>
    <t>СИБЭРСИБЭМ-23/1491</t>
  </si>
  <si>
    <t>Павел Сергеевич Мишин</t>
  </si>
  <si>
    <t>1000153824</t>
  </si>
  <si>
    <t>ООО "Чистый Дом"</t>
  </si>
  <si>
    <t>2511053207</t>
  </si>
  <si>
    <t>Светлана Романовна Калашникова</t>
  </si>
  <si>
    <t>1000154030</t>
  </si>
  <si>
    <t>СРО ИИ АИС</t>
  </si>
  <si>
    <t>2460108649</t>
  </si>
  <si>
    <t>1000154497</t>
  </si>
  <si>
    <t>ООО "Металл Строй"</t>
  </si>
  <si>
    <t>2536322331</t>
  </si>
  <si>
    <t>476ММК-ЛГ/ПГРЭС</t>
  </si>
  <si>
    <t>1000154554</t>
  </si>
  <si>
    <t>ООО ПБ "Сибпроект"</t>
  </si>
  <si>
    <t>2465235947</t>
  </si>
  <si>
    <t>СИБЭРСИБЭМ-25/4056</t>
  </si>
  <si>
    <t>Наталия Владимировна Колпакова</t>
  </si>
  <si>
    <t>1000155272</t>
  </si>
  <si>
    <t>ООО "Милимонт"</t>
  </si>
  <si>
    <t>4217200806</t>
  </si>
  <si>
    <t>398ММК-КР/ТЭЦ-3</t>
  </si>
  <si>
    <t>Вадим Владимирович Тихомиров</t>
  </si>
  <si>
    <t>1000155565</t>
  </si>
  <si>
    <t>ООО ТД "КЗС"</t>
  </si>
  <si>
    <t>2464252322</t>
  </si>
  <si>
    <t>1000155777</t>
  </si>
  <si>
    <t>ООО ТД "Профконтроль"</t>
  </si>
  <si>
    <t>7448221894</t>
  </si>
  <si>
    <t>1000156836</t>
  </si>
  <si>
    <t>ООО "Сибфорест"</t>
  </si>
  <si>
    <t>2460084557</t>
  </si>
  <si>
    <t>1000156980</t>
  </si>
  <si>
    <t>ООО "ТСК"</t>
  </si>
  <si>
    <t>6683005362</t>
  </si>
  <si>
    <t>СИБЭРСИБЭМ-24/5086</t>
  </si>
  <si>
    <t>1000157258</t>
  </si>
  <si>
    <t>ООО "ПО АДК"</t>
  </si>
  <si>
    <t>7733411332</t>
  </si>
  <si>
    <t>1000157410</t>
  </si>
  <si>
    <t>ООО "Пилар"</t>
  </si>
  <si>
    <t>7703711642</t>
  </si>
  <si>
    <t>СИБЭРСИБЭМ-19/74</t>
  </si>
  <si>
    <t>1000157928</t>
  </si>
  <si>
    <t>СП ООО "ENERGORESURS"</t>
  </si>
  <si>
    <t>300446418</t>
  </si>
  <si>
    <t>1000158450</t>
  </si>
  <si>
    <t>ООО "МосГТС"</t>
  </si>
  <si>
    <t>7717799421</t>
  </si>
  <si>
    <t>СИБЭРСИБЭМ-23/2682</t>
  </si>
  <si>
    <t>Вадим Сергеевич Лисиенко</t>
  </si>
  <si>
    <t>1000158772</t>
  </si>
  <si>
    <t>ООО "ТСВ"</t>
  </si>
  <si>
    <t>2723215259</t>
  </si>
  <si>
    <t>248ММК-ЛГ/ПГРЭС</t>
  </si>
  <si>
    <t>Наталия Сергеевна Карле</t>
  </si>
  <si>
    <t>1000160348</t>
  </si>
  <si>
    <t>ООО "Контест"</t>
  </si>
  <si>
    <t>3327121739</t>
  </si>
  <si>
    <t>1000160679</t>
  </si>
  <si>
    <t>ООО "Люкро"</t>
  </si>
  <si>
    <t>2222020330</t>
  </si>
  <si>
    <t>СИБЭРСИБЭМ-23/3152</t>
  </si>
  <si>
    <t>Сергей Иванович Семерик</t>
  </si>
  <si>
    <t>СИБЭРСИБЭМ-24/2081</t>
  </si>
  <si>
    <t>СИБЭРСИБЭМ-25/7171</t>
  </si>
  <si>
    <t>1000161215</t>
  </si>
  <si>
    <t>ООО "СимаВосток"</t>
  </si>
  <si>
    <t>6679140270</t>
  </si>
  <si>
    <t>Ольга Петровна Меркулова</t>
  </si>
  <si>
    <t>1000161539</t>
  </si>
  <si>
    <t>ООО "Автомир ДС"</t>
  </si>
  <si>
    <t>2724172008</t>
  </si>
  <si>
    <t>1000161852</t>
  </si>
  <si>
    <t>ООО "Вектор Плюс"</t>
  </si>
  <si>
    <t>5446014627</t>
  </si>
  <si>
    <t>СИБЭРСИБЭМ-23/3851</t>
  </si>
  <si>
    <t>Алексей Борисович Сахаров</t>
  </si>
  <si>
    <t>СИБЭРСИБЭМ-24/231</t>
  </si>
  <si>
    <t>1000164475</t>
  </si>
  <si>
    <t>ООО "КС"</t>
  </si>
  <si>
    <t>7717719289</t>
  </si>
  <si>
    <t>1000165514</t>
  </si>
  <si>
    <t>ООО "Митра"</t>
  </si>
  <si>
    <t>2466289529</t>
  </si>
  <si>
    <t>СИБЭРСИБЭМ-25/2905</t>
  </si>
  <si>
    <t>1000165903</t>
  </si>
  <si>
    <t>ООО "Центр Снабжения ДВ"</t>
  </si>
  <si>
    <t>2543121121</t>
  </si>
  <si>
    <t>СИБЭРСИБЭМ-24/2456</t>
  </si>
  <si>
    <t>Наталья Геннадьевна Романова</t>
  </si>
  <si>
    <t>1000166668</t>
  </si>
  <si>
    <t>ООО "ИНТЕГ"</t>
  </si>
  <si>
    <t>2460110648</t>
  </si>
  <si>
    <t>СИБЭРСИБЭМ-24/2312</t>
  </si>
  <si>
    <t>1000166798</t>
  </si>
  <si>
    <t>ООО "Монтажно-ремонтное предприятие"</t>
  </si>
  <si>
    <t>2462204355</t>
  </si>
  <si>
    <t>1000167833</t>
  </si>
  <si>
    <t>ООО "Престиж"</t>
  </si>
  <si>
    <t>2462207660</t>
  </si>
  <si>
    <t>1000167975</t>
  </si>
  <si>
    <t>5505062400</t>
  </si>
  <si>
    <t>Александр Леонидович Нахтыгаль</t>
  </si>
  <si>
    <t>1000168311</t>
  </si>
  <si>
    <t>ООО "Техномонтаж"</t>
  </si>
  <si>
    <t>7708804805</t>
  </si>
  <si>
    <t>1000168622</t>
  </si>
  <si>
    <t>ООО "Эверест"</t>
  </si>
  <si>
    <t>2459021224</t>
  </si>
  <si>
    <t>СИБЭРСИБЭМ-25/4836</t>
  </si>
  <si>
    <t>1000168796</t>
  </si>
  <si>
    <t>ООО "МТЭК"</t>
  </si>
  <si>
    <t>9705210684</t>
  </si>
  <si>
    <t>179ММК-КР/ТЭЦ-3</t>
  </si>
  <si>
    <t>257ММК</t>
  </si>
  <si>
    <t>1000169328</t>
  </si>
  <si>
    <t>АО "Селектел"</t>
  </si>
  <si>
    <t>7810962785</t>
  </si>
  <si>
    <t>1000169367</t>
  </si>
  <si>
    <t>ООО "Металл-Комплекс"</t>
  </si>
  <si>
    <t>4217179865</t>
  </si>
  <si>
    <t>1000169438</t>
  </si>
  <si>
    <t>ООО "Экотехинжиниринг"</t>
  </si>
  <si>
    <t>9702035770</t>
  </si>
  <si>
    <t>ММК-10</t>
  </si>
  <si>
    <t>1000169439</t>
  </si>
  <si>
    <t>ООО "ТД ЯнтарьЭК"</t>
  </si>
  <si>
    <t>7704371533</t>
  </si>
  <si>
    <t>ММК-11</t>
  </si>
  <si>
    <t>1000169440</t>
  </si>
  <si>
    <t>ООО "Стройзащита"</t>
  </si>
  <si>
    <t>7810438518</t>
  </si>
  <si>
    <t>400ММК-КР/ТЭЦ-3</t>
  </si>
  <si>
    <t>1000169443</t>
  </si>
  <si>
    <t>ООО "ПК "Модульстрой"</t>
  </si>
  <si>
    <t>2465346189</t>
  </si>
  <si>
    <t>ММК-08</t>
  </si>
  <si>
    <t>1000169444</t>
  </si>
  <si>
    <t>ООО "ОЛДИС"</t>
  </si>
  <si>
    <t>1900005853</t>
  </si>
  <si>
    <t>6-О</t>
  </si>
  <si>
    <t>818ММК</t>
  </si>
  <si>
    <t>Андрей Сергеевич Лобачев</t>
  </si>
  <si>
    <t>ММК-09</t>
  </si>
  <si>
    <t>Екатерина Михайловна Давыдова</t>
  </si>
  <si>
    <t>ММК-12</t>
  </si>
  <si>
    <t>1000169446</t>
  </si>
  <si>
    <t>ООО "Миграция-М"</t>
  </si>
  <si>
    <t>2536190614</t>
  </si>
  <si>
    <t>83ММК</t>
  </si>
  <si>
    <t>1000169497</t>
  </si>
  <si>
    <t>ООО "Континенталь Тракт +"</t>
  </si>
  <si>
    <t>2463122955</t>
  </si>
  <si>
    <t>БН68/2024</t>
  </si>
  <si>
    <t>1000169498</t>
  </si>
  <si>
    <t>АО "КБ Прибой"</t>
  </si>
  <si>
    <t>7100028186</t>
  </si>
  <si>
    <t>1000169500</t>
  </si>
  <si>
    <t>ООО "Веда Плюс"</t>
  </si>
  <si>
    <t>7734622907</t>
  </si>
  <si>
    <t>Б-2024</t>
  </si>
  <si>
    <t>Елена Александровна Носовко</t>
  </si>
  <si>
    <t>1000169502</t>
  </si>
  <si>
    <t>ООО "Альпстрой"</t>
  </si>
  <si>
    <t>2457087438</t>
  </si>
  <si>
    <t>ММК-05</t>
  </si>
  <si>
    <t>1000169540</t>
  </si>
  <si>
    <t>ООО "ПКФ "ДиПОС"</t>
  </si>
  <si>
    <t>7726044240</t>
  </si>
  <si>
    <t>193ММК-НМ/ГРЭС</t>
  </si>
  <si>
    <t>1000169635</t>
  </si>
  <si>
    <t>ООО "Сибальпэнергомонтаж"</t>
  </si>
  <si>
    <t>2463133682</t>
  </si>
  <si>
    <t>СИБЭРСИБЭМ-26/156</t>
  </si>
  <si>
    <t>1000169794</t>
  </si>
  <si>
    <t>7725688115</t>
  </si>
  <si>
    <t>СИБЭРСИБЭМ-25/6601</t>
  </si>
  <si>
    <t>1000169876</t>
  </si>
  <si>
    <t>ООО "Акварель-Мебель"</t>
  </si>
  <si>
    <t>2465309564</t>
  </si>
  <si>
    <t>284ММК-КР/ТЭЦ-3</t>
  </si>
  <si>
    <t>1000170420</t>
  </si>
  <si>
    <t>АО "ЗВИ"</t>
  </si>
  <si>
    <t>7725008610</t>
  </si>
  <si>
    <t>387</t>
  </si>
  <si>
    <t>522</t>
  </si>
  <si>
    <t>686С</t>
  </si>
  <si>
    <t>1000170504</t>
  </si>
  <si>
    <t>ООО "Ланта"</t>
  </si>
  <si>
    <t>9704242267</t>
  </si>
  <si>
    <t>0825/01</t>
  </si>
  <si>
    <t>Татьяна Витальевна Лебедева</t>
  </si>
  <si>
    <t>1000170796</t>
  </si>
  <si>
    <t>ООО "Опытный завод "Патриот"</t>
  </si>
  <si>
    <t>7802924200</t>
  </si>
  <si>
    <t>1000171646</t>
  </si>
  <si>
    <t>ООО "НПЦ "Металлург"</t>
  </si>
  <si>
    <t>6166059176</t>
  </si>
  <si>
    <t>Никита Сергеевич Самохвалов</t>
  </si>
  <si>
    <t>1000172733</t>
  </si>
  <si>
    <t>ООО "Мирпласт"</t>
  </si>
  <si>
    <t>2462059330</t>
  </si>
  <si>
    <t>1000172736</t>
  </si>
  <si>
    <t>ООО "Ангарский Лес"</t>
  </si>
  <si>
    <t>2465191496</t>
  </si>
  <si>
    <t>1000172777</t>
  </si>
  <si>
    <t>ООО ПО "Трубное Решение НН"</t>
  </si>
  <si>
    <t>5260473015</t>
  </si>
  <si>
    <t>4072024</t>
  </si>
  <si>
    <t>1000172785</t>
  </si>
  <si>
    <t>ООО "ЦЖР"</t>
  </si>
  <si>
    <t>2461046201</t>
  </si>
  <si>
    <t>Вячеслав Александрович Работенко</t>
  </si>
  <si>
    <t>1000172788</t>
  </si>
  <si>
    <t>ООО "АРТЛАЙТ"</t>
  </si>
  <si>
    <t>2465348404</t>
  </si>
  <si>
    <t>1000172789</t>
  </si>
  <si>
    <t>ООО "Борус"</t>
  </si>
  <si>
    <t>4205081664</t>
  </si>
  <si>
    <t>KU-KEM4-237</t>
  </si>
  <si>
    <t>Анна Николаевна Журавлева</t>
  </si>
  <si>
    <t>1000172792</t>
  </si>
  <si>
    <t>ООО "Преферент-Сервис"</t>
  </si>
  <si>
    <t>5402024829</t>
  </si>
  <si>
    <t>1165</t>
  </si>
  <si>
    <t>1000172793</t>
  </si>
  <si>
    <t>ООО "АБАКАРИ"</t>
  </si>
  <si>
    <t>2464163778</t>
  </si>
  <si>
    <t>1000172878</t>
  </si>
  <si>
    <t>7709244578</t>
  </si>
  <si>
    <t>1000173123</t>
  </si>
  <si>
    <t>ООО "Маштехинжиниринг"</t>
  </si>
  <si>
    <t>7704880273</t>
  </si>
  <si>
    <t>220ММК-КР/ТЭЦ-3</t>
  </si>
  <si>
    <t>221ММК-ЛГ/ПГРЭС</t>
  </si>
  <si>
    <t>1000173706</t>
  </si>
  <si>
    <t>ООО "Метизпромсервис"</t>
  </si>
  <si>
    <t>2460249907</t>
  </si>
  <si>
    <t>1000173908</t>
  </si>
  <si>
    <t>ООО "Армал"</t>
  </si>
  <si>
    <t>2465039090</t>
  </si>
  <si>
    <t>1000173910</t>
  </si>
  <si>
    <t>ООО ПКФ "Санитек"</t>
  </si>
  <si>
    <t>7106034348</t>
  </si>
  <si>
    <t>16/2024</t>
  </si>
  <si>
    <t>1000173912</t>
  </si>
  <si>
    <t>ООО "Сервер Гейт"</t>
  </si>
  <si>
    <t>7728456472</t>
  </si>
  <si>
    <t>УТ-1130</t>
  </si>
  <si>
    <t>1000173913</t>
  </si>
  <si>
    <t>ООО "Фундболт"</t>
  </si>
  <si>
    <t>7734683882</t>
  </si>
  <si>
    <t>383</t>
  </si>
  <si>
    <t>1000174031</t>
  </si>
  <si>
    <t>ООО "ПКФ "Метинвест-Сервис"</t>
  </si>
  <si>
    <t>7721452768</t>
  </si>
  <si>
    <t>275ММК-НМ/ГРЭС</t>
  </si>
  <si>
    <t>1000174032</t>
  </si>
  <si>
    <t>ООО "Саннен РУС"</t>
  </si>
  <si>
    <t>7713580460</t>
  </si>
  <si>
    <t>20240813/А</t>
  </si>
  <si>
    <t>1000174036</t>
  </si>
  <si>
    <t>ООО "Футура Тул"</t>
  </si>
  <si>
    <t>2813011147</t>
  </si>
  <si>
    <t>3024-28</t>
  </si>
  <si>
    <t>1000174237</t>
  </si>
  <si>
    <t>ООО "Нефтегазовая Комплектация"</t>
  </si>
  <si>
    <t>5836657704</t>
  </si>
  <si>
    <t>1000174266</t>
  </si>
  <si>
    <t>ООО "СибМК"</t>
  </si>
  <si>
    <t>2404022606</t>
  </si>
  <si>
    <t>344ММК-КР/ТЭЦ-3</t>
  </si>
  <si>
    <t>1000174287</t>
  </si>
  <si>
    <t>Торговое представительство АО "ТД Тракт" г. Красноярск</t>
  </si>
  <si>
    <t>1000174756</t>
  </si>
  <si>
    <t>ООО "Гринэнергоснаб"</t>
  </si>
  <si>
    <t>5036099264</t>
  </si>
  <si>
    <t>1000174837</t>
  </si>
  <si>
    <t>ООО "ЗМК"</t>
  </si>
  <si>
    <t>5038162627</t>
  </si>
  <si>
    <t>455ММК-НМ/ГРЭС</t>
  </si>
  <si>
    <t>1000174933</t>
  </si>
  <si>
    <t>ООО "Бравос"</t>
  </si>
  <si>
    <t>2463128361</t>
  </si>
  <si>
    <t>1000174934</t>
  </si>
  <si>
    <t>2463131004</t>
  </si>
  <si>
    <t>167</t>
  </si>
  <si>
    <t>1000174984</t>
  </si>
  <si>
    <t>ООО "РусТрестЭнерго"</t>
  </si>
  <si>
    <t>7733765525</t>
  </si>
  <si>
    <t>1000174985</t>
  </si>
  <si>
    <t>ООО "Аргос"</t>
  </si>
  <si>
    <t>7816135125</t>
  </si>
  <si>
    <t>1000175032</t>
  </si>
  <si>
    <t>ООО "Радуга"</t>
  </si>
  <si>
    <t>7901550549</t>
  </si>
  <si>
    <t>1000175173</t>
  </si>
  <si>
    <t>ООО "Промаркер"</t>
  </si>
  <si>
    <t>9721213001</t>
  </si>
  <si>
    <t>1000175218</t>
  </si>
  <si>
    <t>ООО "МОЛТОН"</t>
  </si>
  <si>
    <t>6671211258</t>
  </si>
  <si>
    <t>1000175388</t>
  </si>
  <si>
    <t>ООО "Лайт Групп"</t>
  </si>
  <si>
    <t>2700006805</t>
  </si>
  <si>
    <t>1000175392</t>
  </si>
  <si>
    <t>ООО "Центрстрой"</t>
  </si>
  <si>
    <t>9726080323</t>
  </si>
  <si>
    <t>1000175404</t>
  </si>
  <si>
    <t>ООО "Нефтегазсервис"</t>
  </si>
  <si>
    <t>5835076665</t>
  </si>
  <si>
    <t>1000175406</t>
  </si>
  <si>
    <t>ООО "ТД Электросоюз"</t>
  </si>
  <si>
    <t>2461049178</t>
  </si>
  <si>
    <t>1000175418</t>
  </si>
  <si>
    <t>ООО "Электроконстракшн"</t>
  </si>
  <si>
    <t>2130171681</t>
  </si>
  <si>
    <t>2908/24-ЭК</t>
  </si>
  <si>
    <t>1000175475</t>
  </si>
  <si>
    <t>ООО "НПЦ "Манометр"</t>
  </si>
  <si>
    <t>7726451260</t>
  </si>
  <si>
    <t>1000175523</t>
  </si>
  <si>
    <t>ООО "Электрон"</t>
  </si>
  <si>
    <t>5029226472</t>
  </si>
  <si>
    <t>1000175539</t>
  </si>
  <si>
    <t>ООО "Руслогистика"</t>
  </si>
  <si>
    <t>9705092670</t>
  </si>
  <si>
    <t>1000175541</t>
  </si>
  <si>
    <t>ООО "Айдеко"</t>
  </si>
  <si>
    <t>6670208848</t>
  </si>
  <si>
    <t>132230</t>
  </si>
  <si>
    <t>1000175543</t>
  </si>
  <si>
    <t>АО "ОКБ "Октава"</t>
  </si>
  <si>
    <t>7107032270</t>
  </si>
  <si>
    <t>1000175546</t>
  </si>
  <si>
    <t>ООО ГК "ССТ"</t>
  </si>
  <si>
    <t>2466178956</t>
  </si>
  <si>
    <t>1000175548</t>
  </si>
  <si>
    <t>ООО "ЦЖУ ИИ"</t>
  </si>
  <si>
    <t>2460077380</t>
  </si>
  <si>
    <t>15</t>
  </si>
  <si>
    <t>1000175549</t>
  </si>
  <si>
    <t>ООО "Современные информационные технологии"</t>
  </si>
  <si>
    <t>2543028806</t>
  </si>
  <si>
    <t>1000175554</t>
  </si>
  <si>
    <t>ООО "ТПФ Петродуал"</t>
  </si>
  <si>
    <t>7814819641</t>
  </si>
  <si>
    <t>1000175555</t>
  </si>
  <si>
    <t>ООО Идиллия Групп</t>
  </si>
  <si>
    <t>9731075336</t>
  </si>
  <si>
    <t>1000175556</t>
  </si>
  <si>
    <t>ООО ТД "УТД"</t>
  </si>
  <si>
    <t>6685053153</t>
  </si>
  <si>
    <t>1000175580</t>
  </si>
  <si>
    <t>ООО "МТЛ-Айкью"</t>
  </si>
  <si>
    <t>5406838988</t>
  </si>
  <si>
    <t>24/09/24</t>
  </si>
  <si>
    <t>1000175581</t>
  </si>
  <si>
    <t>ООО ТК "СтальИнвест"</t>
  </si>
  <si>
    <t>7107114589</t>
  </si>
  <si>
    <t>ММКС-25/85</t>
  </si>
  <si>
    <t>Павел Сергеевич Шевченко</t>
  </si>
  <si>
    <t>1000175584</t>
  </si>
  <si>
    <t>ООО "ДИ Ферро"</t>
  </si>
  <si>
    <t>7106081147</t>
  </si>
  <si>
    <t>Д-К-24.110</t>
  </si>
  <si>
    <t>1000175601</t>
  </si>
  <si>
    <t>ООО "ЛайфСИЗ"</t>
  </si>
  <si>
    <t>5040132980</t>
  </si>
  <si>
    <t>382/2308</t>
  </si>
  <si>
    <t>1000175748</t>
  </si>
  <si>
    <t>ООО "Алдири"</t>
  </si>
  <si>
    <t>2464251400</t>
  </si>
  <si>
    <t>09-1</t>
  </si>
  <si>
    <t>1000175749</t>
  </si>
  <si>
    <t>ООО АН "Магнит"</t>
  </si>
  <si>
    <t>2465252340</t>
  </si>
  <si>
    <t>106</t>
  </si>
  <si>
    <t>1000175814</t>
  </si>
  <si>
    <t>АО "СПК"</t>
  </si>
  <si>
    <t>6671197148</t>
  </si>
  <si>
    <t>1000175876</t>
  </si>
  <si>
    <t>ООО "ГИРАС"</t>
  </si>
  <si>
    <t>5047062227</t>
  </si>
  <si>
    <t>1000175937</t>
  </si>
  <si>
    <t>ОСП АО "СПК" в г. Тула</t>
  </si>
  <si>
    <t>1000176026</t>
  </si>
  <si>
    <t>ООО "ПромСоюз"</t>
  </si>
  <si>
    <t>2465350996</t>
  </si>
  <si>
    <t>№ 449ММК-КР-ТЭЦ-3</t>
  </si>
  <si>
    <t>1000176059</t>
  </si>
  <si>
    <t>ООО "Абсолюттранс"</t>
  </si>
  <si>
    <t>7448234702</t>
  </si>
  <si>
    <t>1000176166</t>
  </si>
  <si>
    <t>ООО "Кронвуд"</t>
  </si>
  <si>
    <t>2526005380</t>
  </si>
  <si>
    <t>01-2024</t>
  </si>
  <si>
    <t>1000176225</t>
  </si>
  <si>
    <t>ООО "МВ"</t>
  </si>
  <si>
    <t>7743353464</t>
  </si>
  <si>
    <t>1000176226</t>
  </si>
  <si>
    <t>ООО "ДГС"</t>
  </si>
  <si>
    <t>1632017233</t>
  </si>
  <si>
    <t>695</t>
  </si>
  <si>
    <t>1000176284</t>
  </si>
  <si>
    <t>ООО "Анкер Маркет"</t>
  </si>
  <si>
    <t>9718261598</t>
  </si>
  <si>
    <t>1000176538</t>
  </si>
  <si>
    <t>ООО "ОптТрейд"</t>
  </si>
  <si>
    <t>6670313257</t>
  </si>
  <si>
    <t>483ММК-ЛГ/ПГРЭС</t>
  </si>
  <si>
    <t>1000176805</t>
  </si>
  <si>
    <t>ООО ТК "Алькор"</t>
  </si>
  <si>
    <t>2463117673</t>
  </si>
  <si>
    <t>1000176908</t>
  </si>
  <si>
    <t>ООО "АМА"</t>
  </si>
  <si>
    <t>2721193803</t>
  </si>
  <si>
    <t>1000176929</t>
  </si>
  <si>
    <t>ООО "Уралтрансмастер"</t>
  </si>
  <si>
    <t>6623090927</t>
  </si>
  <si>
    <t>1000178080</t>
  </si>
  <si>
    <t>ООО "Горизонт"</t>
  </si>
  <si>
    <t>2463118821</t>
  </si>
  <si>
    <t>518ММК</t>
  </si>
  <si>
    <t>1000178164</t>
  </si>
  <si>
    <t>ООО "Марэн"</t>
  </si>
  <si>
    <t>8603117243</t>
  </si>
  <si>
    <t>1000178184</t>
  </si>
  <si>
    <t>ООО "Северсталь Цифровые Решения"</t>
  </si>
  <si>
    <t>3524014020</t>
  </si>
  <si>
    <t>349/МРН/2024/ЗАК</t>
  </si>
  <si>
    <t>1000178421</t>
  </si>
  <si>
    <t>ООО "Халмер"</t>
  </si>
  <si>
    <t>5029163832</t>
  </si>
  <si>
    <t>П-00183132</t>
  </si>
  <si>
    <t>1000178634</t>
  </si>
  <si>
    <t>ООО "КИМ"</t>
  </si>
  <si>
    <t>2543185301</t>
  </si>
  <si>
    <t>1831/2024/1</t>
  </si>
  <si>
    <t>1000179151</t>
  </si>
  <si>
    <t>ООО "Керамзит-ДВ"</t>
  </si>
  <si>
    <t>2723050455</t>
  </si>
  <si>
    <t>СИБЭРСИБЭМ-26/74</t>
  </si>
  <si>
    <t>1000179251</t>
  </si>
  <si>
    <t>ООО "Санлогистика"</t>
  </si>
  <si>
    <t>1215232250</t>
  </si>
  <si>
    <t>1000179396</t>
  </si>
  <si>
    <t>ООО "ПолимерДВ"</t>
  </si>
  <si>
    <t>2724237248</t>
  </si>
  <si>
    <t>1000179478</t>
  </si>
  <si>
    <t>ООО "СТЕЛС"</t>
  </si>
  <si>
    <t>2466286060</t>
  </si>
  <si>
    <t>ММКС-25/25</t>
  </si>
  <si>
    <t>1000179537</t>
  </si>
  <si>
    <t>ООО ГТК "Райд"</t>
  </si>
  <si>
    <t>2225205184</t>
  </si>
  <si>
    <t>1000179622</t>
  </si>
  <si>
    <t>ООО "Трак Про"</t>
  </si>
  <si>
    <t>2411030380</t>
  </si>
  <si>
    <t>ММКС-25/62</t>
  </si>
  <si>
    <t>1000180222</t>
  </si>
  <si>
    <t>ООО "Катари"</t>
  </si>
  <si>
    <t>2460122957</t>
  </si>
  <si>
    <t>СИБЭРСИБЭМ-25/1849</t>
  </si>
  <si>
    <t>СИБЭРСИБЭМ-25/7949</t>
  </si>
  <si>
    <t>Евгений Юрьевич Вольф</t>
  </si>
  <si>
    <t>1000180284</t>
  </si>
  <si>
    <t>ООО "Промстандарт"</t>
  </si>
  <si>
    <t>3528330588</t>
  </si>
  <si>
    <t>1000180294</t>
  </si>
  <si>
    <t>ООО "ЭнП инжиниринг"</t>
  </si>
  <si>
    <t>6678016168</t>
  </si>
  <si>
    <t>СИБЭРСИБЭМ-25/8455</t>
  </si>
  <si>
    <t>1000180985</t>
  </si>
  <si>
    <t>ООО "Феникс"</t>
  </si>
  <si>
    <t>2464166867</t>
  </si>
  <si>
    <t>ММКС-25/171</t>
  </si>
  <si>
    <t>1000181340</t>
  </si>
  <si>
    <t>ООО ИЦ "ОТС-Новосибирск"</t>
  </si>
  <si>
    <t>5404328283</t>
  </si>
  <si>
    <t>Инна Леонидовна Горбатюк</t>
  </si>
  <si>
    <t>1000181403</t>
  </si>
  <si>
    <t>ООО "Азиялесторг"</t>
  </si>
  <si>
    <t>5404510983</t>
  </si>
  <si>
    <t>1000181711</t>
  </si>
  <si>
    <t>ООО "ИПЛ"</t>
  </si>
  <si>
    <t>6686053340</t>
  </si>
  <si>
    <t>СИБЭРСИБЭМ-25/8040</t>
  </si>
  <si>
    <t>1000181925</t>
  </si>
  <si>
    <t>ООО "Компания Стромикс"</t>
  </si>
  <si>
    <t>2721135311</t>
  </si>
  <si>
    <t>СИБЭРСИБЭМ-25/1594</t>
  </si>
  <si>
    <t>1000182069</t>
  </si>
  <si>
    <t>Частное предприятие "Рос Энерго Монтаж Сервис"</t>
  </si>
  <si>
    <t>9909617407</t>
  </si>
  <si>
    <t>СИБЭРСИБЭМ-25/4015</t>
  </si>
  <si>
    <t>Андрей Романович Трохимович</t>
  </si>
  <si>
    <t>СИБЭРСИБЭМ-25/5169</t>
  </si>
  <si>
    <t>1000182112</t>
  </si>
  <si>
    <t>ООО ПФК "Электромагнит"</t>
  </si>
  <si>
    <t>6686129493</t>
  </si>
  <si>
    <t>1000182375</t>
  </si>
  <si>
    <t>ООО "Подъем ДВ"</t>
  </si>
  <si>
    <t>2723137145</t>
  </si>
  <si>
    <t>1000182979</t>
  </si>
  <si>
    <t>ООО "Академи Принт"</t>
  </si>
  <si>
    <t>2460238856</t>
  </si>
  <si>
    <t>Нелли Андреевна Ананьина</t>
  </si>
  <si>
    <t>1000184209</t>
  </si>
  <si>
    <t>ООО "Ма-Шина"</t>
  </si>
  <si>
    <t>4214038577</t>
  </si>
  <si>
    <t>1000184376</t>
  </si>
  <si>
    <t>1644095331</t>
  </si>
  <si>
    <t>1000185262</t>
  </si>
  <si>
    <t>ООО "Немецкие Инструменты"</t>
  </si>
  <si>
    <t>7718084426</t>
  </si>
  <si>
    <t>1000185407</t>
  </si>
  <si>
    <t>ООО "ЦТС"</t>
  </si>
  <si>
    <t>7105519727</t>
  </si>
  <si>
    <t>СИБЭРСИБЭМ-25/4560</t>
  </si>
  <si>
    <t>1000185532</t>
  </si>
  <si>
    <t>ООО "ЗУМ"</t>
  </si>
  <si>
    <t>5404206119</t>
  </si>
  <si>
    <t>СИБЭРСИБЭМ-25/4942</t>
  </si>
  <si>
    <t>1000185641</t>
  </si>
  <si>
    <t>ООО "ИК"</t>
  </si>
  <si>
    <t>2723188171</t>
  </si>
  <si>
    <t>1000186638</t>
  </si>
  <si>
    <t>ООО "ДиВо"</t>
  </si>
  <si>
    <t>9731065497</t>
  </si>
  <si>
    <t>СИБЭРСИБЭМ-25/8331</t>
  </si>
  <si>
    <t>1000187420</t>
  </si>
  <si>
    <t>ООО "Фосса Проджект"</t>
  </si>
  <si>
    <t>7814840227</t>
  </si>
  <si>
    <t>СИБЭРСИБЭМ-25/6729</t>
  </si>
  <si>
    <t>1000188094</t>
  </si>
  <si>
    <t>ООО "Мир Аккумуляторов"</t>
  </si>
  <si>
    <t>2721231336</t>
  </si>
  <si>
    <t>1000188194</t>
  </si>
  <si>
    <t>ООО "Авант Маркет"</t>
  </si>
  <si>
    <t>2724245190</t>
  </si>
  <si>
    <t>1000188314</t>
  </si>
  <si>
    <t>ООО "ТСК-ДВ"</t>
  </si>
  <si>
    <t>2723219790</t>
  </si>
  <si>
    <t>СИБЭРСИБЭМ-26/438</t>
  </si>
  <si>
    <t>1000189020</t>
  </si>
  <si>
    <t>ООО "ГЭС"</t>
  </si>
  <si>
    <t>2460127835</t>
  </si>
  <si>
    <t>1000191483</t>
  </si>
  <si>
    <t>ООО "Евротрал"</t>
  </si>
  <si>
    <t>7814799307</t>
  </si>
  <si>
    <t>СИБЭРСИБЭМ-25/9193</t>
  </si>
  <si>
    <t>1000191905</t>
  </si>
  <si>
    <t>ООО "ЗТ"</t>
  </si>
  <si>
    <t>2700039342</t>
  </si>
  <si>
    <t>1000192062</t>
  </si>
  <si>
    <t>АО СК "Стройтэк"</t>
  </si>
  <si>
    <t>3808224254</t>
  </si>
  <si>
    <t>1000192155</t>
  </si>
  <si>
    <t>ООО "Драйв"</t>
  </si>
  <si>
    <t>2543115706</t>
  </si>
  <si>
    <t>1000192377</t>
  </si>
  <si>
    <t>ООО "Бизонснаб"</t>
  </si>
  <si>
    <t>6154165941</t>
  </si>
  <si>
    <t>СИБЭРСИБЭМ-26/373</t>
  </si>
  <si>
    <t>1000192842</t>
  </si>
  <si>
    <t>ООО "Техпром-Акс"</t>
  </si>
  <si>
    <t>7729787653</t>
  </si>
  <si>
    <t>СИБЭРСИБЭМ-26/873</t>
  </si>
  <si>
    <t>Левон Артурович Асатрян</t>
  </si>
  <si>
    <t>1000192886</t>
  </si>
  <si>
    <t>ООО "ГК Юнит Тулс"</t>
  </si>
  <si>
    <t>0274974044</t>
  </si>
  <si>
    <t>СИБЭРСИБЭМ-26/1027</t>
  </si>
  <si>
    <t>Ирина Александровна Зайцева</t>
  </si>
  <si>
    <t>СИБЭРСИБЭМ-26/789</t>
  </si>
  <si>
    <t>2000001879</t>
  </si>
  <si>
    <t>ИП Степанов Максим Николаевич</t>
  </si>
  <si>
    <t>711602822541</t>
  </si>
  <si>
    <t>2000009978</t>
  </si>
  <si>
    <t>ИП Кустова Марина Альбертовна</t>
  </si>
  <si>
    <t>421500997283</t>
  </si>
  <si>
    <t>Мария Ивановна Гуляева</t>
  </si>
  <si>
    <t>2000010845</t>
  </si>
  <si>
    <t>ИП Синкевич Вячеслав Владимирович</t>
  </si>
  <si>
    <t>246312825016</t>
  </si>
  <si>
    <t>ТМО – 02/02/25</t>
  </si>
  <si>
    <t>2000012970</t>
  </si>
  <si>
    <t>ИП Достовалова Ирина Антоновна</t>
  </si>
  <si>
    <t>246100423080</t>
  </si>
  <si>
    <t>2000017702</t>
  </si>
  <si>
    <t>Физическое лицо в Кузбасском  регионе</t>
  </si>
  <si>
    <t>000000000000</t>
  </si>
  <si>
    <t>2000019725</t>
  </si>
  <si>
    <t>ИП Загайная Алена Юрьевна</t>
  </si>
  <si>
    <t>246104787754</t>
  </si>
  <si>
    <t>2000037711</t>
  </si>
  <si>
    <t>ИП Мажукин Дмитрий Николаевич</t>
  </si>
  <si>
    <t>270307664932</t>
  </si>
  <si>
    <t>2000045101</t>
  </si>
  <si>
    <t>ИП Федорова Елена Викторовна</t>
  </si>
  <si>
    <t>246303411058</t>
  </si>
  <si>
    <t>2000048535</t>
  </si>
  <si>
    <t>Маскаев Сергей Григорьевич</t>
  </si>
  <si>
    <t>422900971500</t>
  </si>
  <si>
    <t>СИБЭРСИБЭМ-21/2209</t>
  </si>
  <si>
    <t>2000058087</t>
  </si>
  <si>
    <t>ИП Кобец Александр Васильевич</t>
  </si>
  <si>
    <t>253701220511</t>
  </si>
  <si>
    <t>2000060688</t>
  </si>
  <si>
    <t>ИП Молчанов Алексей Павлович</t>
  </si>
  <si>
    <t>246309652620</t>
  </si>
  <si>
    <t>023</t>
  </si>
  <si>
    <t>2000064528</t>
  </si>
  <si>
    <t>ИП Лебедева Ольга Владимировна</t>
  </si>
  <si>
    <t>246500172345</t>
  </si>
  <si>
    <t>20</t>
  </si>
  <si>
    <t>2000075883</t>
  </si>
  <si>
    <t>ИП Мишко Владимир Николаевич</t>
  </si>
  <si>
    <t>773317130880</t>
  </si>
  <si>
    <t>Людмила Сергеевна Бирюкова</t>
  </si>
  <si>
    <t>2000079228</t>
  </si>
  <si>
    <t>ИП Устинов Вячеслав Юрьевич</t>
  </si>
  <si>
    <t>252600030449</t>
  </si>
  <si>
    <t>2000080954</t>
  </si>
  <si>
    <t>Михайлин Олег Михайлович</t>
  </si>
  <si>
    <t>246309086100</t>
  </si>
  <si>
    <t>71ММК-КР/ТЭЦ-3</t>
  </si>
  <si>
    <t>2000081402</t>
  </si>
  <si>
    <t>ИП Зопунян Анна Мкртычовна</t>
  </si>
  <si>
    <t>252692092724</t>
  </si>
  <si>
    <t>2000081874</t>
  </si>
  <si>
    <t>ИП Кутдусов Валерий Раисович</t>
  </si>
  <si>
    <t>252600163255</t>
  </si>
  <si>
    <t>495</t>
  </si>
  <si>
    <t>499</t>
  </si>
  <si>
    <t>2000081894</t>
  </si>
  <si>
    <t>272312619110</t>
  </si>
  <si>
    <t>2000082788</t>
  </si>
  <si>
    <t>ИП Мишуров Виктор Александрович</t>
  </si>
  <si>
    <t>380500187691</t>
  </si>
  <si>
    <t>2000085770</t>
  </si>
  <si>
    <t>Краснолобова Елена Николаевна</t>
  </si>
  <si>
    <t>253600141380</t>
  </si>
  <si>
    <t>2000085892</t>
  </si>
  <si>
    <t>ИП Первушин Максим Юрьевич</t>
  </si>
  <si>
    <t>246312475072</t>
  </si>
  <si>
    <t>546</t>
  </si>
  <si>
    <t>2000086065</t>
  </si>
  <si>
    <t>ИП Николаенко Алексей Андреевич</t>
  </si>
  <si>
    <t>381507552440</t>
  </si>
  <si>
    <t>2000088274</t>
  </si>
  <si>
    <t>ИП Горячев Сергей Александрович</t>
  </si>
  <si>
    <t>590700588847</t>
  </si>
  <si>
    <t>2000092913</t>
  </si>
  <si>
    <t>ИП Захаров Игорь Алексеевич</t>
  </si>
  <si>
    <t>711603148766</t>
  </si>
  <si>
    <t>2000093791</t>
  </si>
  <si>
    <t>ИП Антоненко Игорь Алексеевич</t>
  </si>
  <si>
    <t>252603107682</t>
  </si>
  <si>
    <t>2000110044</t>
  </si>
  <si>
    <t>ИП Нефедова Елена Васильевна</t>
  </si>
  <si>
    <t>272409389742</t>
  </si>
  <si>
    <t>2000117769</t>
  </si>
  <si>
    <t>ИП Клейменов Николай Николаевич</t>
  </si>
  <si>
    <t>220804824800</t>
  </si>
  <si>
    <t>СИБЭРСИБЭМ-22/5969</t>
  </si>
  <si>
    <t>2000123992</t>
  </si>
  <si>
    <t>ИП Дрозд Артём Николаевич</t>
  </si>
  <si>
    <t>183512856386</t>
  </si>
  <si>
    <t>СИБЭРСИБЭМ-25/7006</t>
  </si>
  <si>
    <t>2000126629</t>
  </si>
  <si>
    <t>ИП Павлова Ирина Германовна</t>
  </si>
  <si>
    <t>540106710786</t>
  </si>
  <si>
    <t>2000126799</t>
  </si>
  <si>
    <t>ИП Смирнова Анна Александровна</t>
  </si>
  <si>
    <t>711400394526</t>
  </si>
  <si>
    <t>2000127620</t>
  </si>
  <si>
    <t>Ларин Валерий Петрович</t>
  </si>
  <si>
    <t>162937/23/24029-ИП</t>
  </si>
  <si>
    <t>2000129229</t>
  </si>
  <si>
    <t>ИП Агаджанян Золотина Карписовна</t>
  </si>
  <si>
    <t>252602556371</t>
  </si>
  <si>
    <t>2000129842</t>
  </si>
  <si>
    <t>ИП Китаева Елена Геннадьевна</t>
  </si>
  <si>
    <t>246000241551</t>
  </si>
  <si>
    <t>2000130725</t>
  </si>
  <si>
    <t>ИП Бурковский Владимир Леонидович</t>
  </si>
  <si>
    <t>240700685008</t>
  </si>
  <si>
    <t>2000132731</t>
  </si>
  <si>
    <t>ИП Метлицкая Наталья Владимировна</t>
  </si>
  <si>
    <t>660305507230</t>
  </si>
  <si>
    <t>Без Договора</t>
  </si>
  <si>
    <t>2000132745</t>
  </si>
  <si>
    <t>ИП Шугаева Мария Степановна</t>
  </si>
  <si>
    <t>242802764407</t>
  </si>
  <si>
    <t>2000133266</t>
  </si>
  <si>
    <t>ИП Кижапкин Вячеслав Юрьевич</t>
  </si>
  <si>
    <t>246113024928</t>
  </si>
  <si>
    <t>2000133876</t>
  </si>
  <si>
    <t>ИП Макаров Максим Александрович</t>
  </si>
  <si>
    <t>711613092128</t>
  </si>
  <si>
    <t>2000133890</t>
  </si>
  <si>
    <t>Вольф Ирина Викторовна</t>
  </si>
  <si>
    <t>246100414705</t>
  </si>
  <si>
    <t>2000134609</t>
  </si>
  <si>
    <t>ИП Гайденко Кирилл Алексеевич</t>
  </si>
  <si>
    <t>711612212619</t>
  </si>
  <si>
    <t>УТ-337</t>
  </si>
  <si>
    <t>2000137299</t>
  </si>
  <si>
    <t>ИП Романова Александра Романовна</t>
  </si>
  <si>
    <t>591157082780</t>
  </si>
  <si>
    <t>2000138273</t>
  </si>
  <si>
    <t>Оброков Данила Иванович</t>
  </si>
  <si>
    <t>2-180-2024</t>
  </si>
  <si>
    <t>2000139178</t>
  </si>
  <si>
    <t>Шведова Анна Владимировна</t>
  </si>
  <si>
    <t>245712911148</t>
  </si>
  <si>
    <t>91ММК-КР/ТЭЦ-3</t>
  </si>
  <si>
    <t>2000139183</t>
  </si>
  <si>
    <t>Русских Алена Юрьевна</t>
  </si>
  <si>
    <t>246316020397</t>
  </si>
  <si>
    <t>26ММК-КР/ТЭЦ-3</t>
  </si>
  <si>
    <t>2000139189</t>
  </si>
  <si>
    <t>ИП Минченков Роман Александрович</t>
  </si>
  <si>
    <t>270397525698</t>
  </si>
  <si>
    <t>20ММК-ЛГ/ПГРЭС</t>
  </si>
  <si>
    <t>2000139202</t>
  </si>
  <si>
    <t>Здоренко Андрей Анатольевич</t>
  </si>
  <si>
    <t>252600094629</t>
  </si>
  <si>
    <t>18ММК-ЛГ/ПГРЭС</t>
  </si>
  <si>
    <t>2000139204</t>
  </si>
  <si>
    <t>Дементьев Олег Александрович</t>
  </si>
  <si>
    <t>252600817331</t>
  </si>
  <si>
    <t>27ММК-ЛГ/ПГРЭС</t>
  </si>
  <si>
    <t>2000139209</t>
  </si>
  <si>
    <t>ИП Братющенко Надежда Николаевна</t>
  </si>
  <si>
    <t>366201708778</t>
  </si>
  <si>
    <t>152</t>
  </si>
  <si>
    <t>2000140494</t>
  </si>
  <si>
    <t>Гартунг Виталий Петрович</t>
  </si>
  <si>
    <t>245402390400</t>
  </si>
  <si>
    <t>95ММК-КР/ТЭЦ-3</t>
  </si>
  <si>
    <t>2000140502</t>
  </si>
  <si>
    <t>Евсеева Светлана Альбертовна</t>
  </si>
  <si>
    <t>245403085695</t>
  </si>
  <si>
    <t>129ММК-КР/ТЭЦ-3</t>
  </si>
  <si>
    <t>2000140505</t>
  </si>
  <si>
    <t>Ефимов Александр Сергеевич</t>
  </si>
  <si>
    <t>246201529340</t>
  </si>
  <si>
    <t>132ММК-КР/ТЭЦ-3</t>
  </si>
  <si>
    <t>2000140506</t>
  </si>
  <si>
    <t>Жилин Александр Сергеевич</t>
  </si>
  <si>
    <t>422800532410</t>
  </si>
  <si>
    <t>58ММК-КР/ТЭЦ-3</t>
  </si>
  <si>
    <t>2000140507</t>
  </si>
  <si>
    <t>Зайцева Анна Юрьевна</t>
  </si>
  <si>
    <t>246603941507</t>
  </si>
  <si>
    <t>64ММК-КР/ТЭЦ-3</t>
  </si>
  <si>
    <t>2000140516</t>
  </si>
  <si>
    <t>ИП Чернявский Юрий Львович</t>
  </si>
  <si>
    <t>246205361377</t>
  </si>
  <si>
    <t>44ММК-КР/ТЭЦ-3</t>
  </si>
  <si>
    <t>2000140519</t>
  </si>
  <si>
    <t>Ковалева Юлия Сергеевна</t>
  </si>
  <si>
    <t>242803317578</t>
  </si>
  <si>
    <t>72ММК-КР/ТЭЦ-3</t>
  </si>
  <si>
    <t>2000140532</t>
  </si>
  <si>
    <t>Мельк Надежда Борисовна</t>
  </si>
  <si>
    <t>246408166477</t>
  </si>
  <si>
    <t>183ММК-КР/ТЭЦ-3</t>
  </si>
  <si>
    <t>2000140533</t>
  </si>
  <si>
    <t>Михалап Анна Константиновна</t>
  </si>
  <si>
    <t>246313790454</t>
  </si>
  <si>
    <t>211ММК-КР/ТЭЦ-3</t>
  </si>
  <si>
    <t>2000140534</t>
  </si>
  <si>
    <t>Мясоедов Руслан Валерьевич</t>
  </si>
  <si>
    <t>246513105635</t>
  </si>
  <si>
    <t>2000140546</t>
  </si>
  <si>
    <t>Пшеницина Елена Васильевна</t>
  </si>
  <si>
    <t>242304328550</t>
  </si>
  <si>
    <t>63ММК-КР/ТЭЦ-3</t>
  </si>
  <si>
    <t>2000141428</t>
  </si>
  <si>
    <t>Павлов Евгений Александрович</t>
  </si>
  <si>
    <t>010100860870</t>
  </si>
  <si>
    <t>2</t>
  </si>
  <si>
    <t>2/161ММК</t>
  </si>
  <si>
    <t>2000141563</t>
  </si>
  <si>
    <t>Мельдер Екатерина Павловна</t>
  </si>
  <si>
    <t>380583786505</t>
  </si>
  <si>
    <t>245ММК-КР/ТЭЦ-1</t>
  </si>
  <si>
    <t>2000141772</t>
  </si>
  <si>
    <t>Сбытов Иван Михайлович</t>
  </si>
  <si>
    <t>245602228958</t>
  </si>
  <si>
    <t>295ММК-КР/ТЭЦ-3</t>
  </si>
  <si>
    <t>2000141775</t>
  </si>
  <si>
    <t>Ахметова Анна Сергеевна</t>
  </si>
  <si>
    <t>246517002359</t>
  </si>
  <si>
    <t>234ММК-КР/ТЭЦ-3</t>
  </si>
  <si>
    <t>2000142015</t>
  </si>
  <si>
    <t>ИП Пасичниченко Виталий Викторович</t>
  </si>
  <si>
    <t>246103684442</t>
  </si>
  <si>
    <t>2000142176</t>
  </si>
  <si>
    <t>ИП Казаренко Алексей Александрович</t>
  </si>
  <si>
    <t>246109615100</t>
  </si>
  <si>
    <t>2000142308</t>
  </si>
  <si>
    <t>Иванов Сергей Владимирович</t>
  </si>
  <si>
    <t>246513604698</t>
  </si>
  <si>
    <t>95</t>
  </si>
  <si>
    <t>2000142309</t>
  </si>
  <si>
    <t>ИП Кравченко Антон Александрович</t>
  </si>
  <si>
    <t>246519739941</t>
  </si>
  <si>
    <t>2000142331</t>
  </si>
  <si>
    <t>ИП Кондаков Андрей Владимирович</t>
  </si>
  <si>
    <t>246522779824</t>
  </si>
  <si>
    <t>ММКС-24/244</t>
  </si>
  <si>
    <t>2000142332</t>
  </si>
  <si>
    <t>ИП Тетера Александр Александрович</t>
  </si>
  <si>
    <t>246524986784</t>
  </si>
  <si>
    <t>2000142333</t>
  </si>
  <si>
    <t>ИП Маскин Алексей Анатольевич</t>
  </si>
  <si>
    <t>246604259167</t>
  </si>
  <si>
    <t>2000142334</t>
  </si>
  <si>
    <t>ИП Тарелкин Павел Евгеньевич</t>
  </si>
  <si>
    <t>251008641407</t>
  </si>
  <si>
    <t>2000142335</t>
  </si>
  <si>
    <t>ИП Поликарпова Елена Михайловна</t>
  </si>
  <si>
    <t>390800130477</t>
  </si>
  <si>
    <t>2000142398</t>
  </si>
  <si>
    <t>Сигачева Олеся Ивановна</t>
  </si>
  <si>
    <t>246515455265</t>
  </si>
  <si>
    <t>144/24</t>
  </si>
  <si>
    <t>2000142399</t>
  </si>
  <si>
    <t>Зеленина Маргарита Александровна</t>
  </si>
  <si>
    <t>540412909186</t>
  </si>
  <si>
    <t>442ММК-НС/ТЭЦ-3</t>
  </si>
  <si>
    <t>2000142403</t>
  </si>
  <si>
    <t>ИП Веретенникова Ирина Геннадьевна</t>
  </si>
  <si>
    <t>232202575218</t>
  </si>
  <si>
    <t>2000142404</t>
  </si>
  <si>
    <t>ИП Гурский Андрей Викторович</t>
  </si>
  <si>
    <t>246110475009</t>
  </si>
  <si>
    <t>б/н</t>
  </si>
  <si>
    <t>2000142406</t>
  </si>
  <si>
    <t>ИП Коваль Ольга Ивановна</t>
  </si>
  <si>
    <t>612802415285</t>
  </si>
  <si>
    <t>13</t>
  </si>
  <si>
    <t>2000142407</t>
  </si>
  <si>
    <t>ИП Лукьянова Виктория Александровна</t>
  </si>
  <si>
    <t>711708268669</t>
  </si>
  <si>
    <t>317</t>
  </si>
  <si>
    <t>2000142408</t>
  </si>
  <si>
    <t>Ларкович Надежда Анатольевна</t>
  </si>
  <si>
    <t>246523677568</t>
  </si>
  <si>
    <t>2000142423</t>
  </si>
  <si>
    <t>ИП Шельпяков Александр Геннадьевич</t>
  </si>
  <si>
    <t>661508324876</t>
  </si>
  <si>
    <t>2000142586</t>
  </si>
  <si>
    <t>ИП Прахт Татьяна Михайловна</t>
  </si>
  <si>
    <t>245305970476</t>
  </si>
  <si>
    <t>10/24А</t>
  </si>
  <si>
    <t>2000142607</t>
  </si>
  <si>
    <t>ИП Степанов Илья Вадимович</t>
  </si>
  <si>
    <t>245201073810</t>
  </si>
  <si>
    <t>296ММК-КР/ТЭЦ-3</t>
  </si>
  <si>
    <t>2000142624</t>
  </si>
  <si>
    <t>Манкевич Ирина Петровна</t>
  </si>
  <si>
    <t>246213141512</t>
  </si>
  <si>
    <t>382ММК-КР/ТЭЦ-3</t>
  </si>
  <si>
    <t>2000142636</t>
  </si>
  <si>
    <t>Пигина Светлана Павловна</t>
  </si>
  <si>
    <t>424306639934</t>
  </si>
  <si>
    <t>427ММК-КР/ТЭЦ-3</t>
  </si>
  <si>
    <t>2000142644</t>
  </si>
  <si>
    <t>Тимошенко Наталья Викторовна</t>
  </si>
  <si>
    <t>246213898870</t>
  </si>
  <si>
    <t>416ММК-КР/ТЭЦ-1</t>
  </si>
  <si>
    <t>2000142654</t>
  </si>
  <si>
    <t>Шанина Александра Александровна</t>
  </si>
  <si>
    <t>245606505095</t>
  </si>
  <si>
    <t>457ММК-КР/ТЭЦ-3</t>
  </si>
  <si>
    <t>2000142717</t>
  </si>
  <si>
    <t>Смирнова Людмила Рышардовна</t>
  </si>
  <si>
    <t>246005650597</t>
  </si>
  <si>
    <t>373ММК-КР/ТЭЦ-3</t>
  </si>
  <si>
    <t>2000142816</t>
  </si>
  <si>
    <t>Мольников Роман Александрович</t>
  </si>
  <si>
    <t>244002121440</t>
  </si>
  <si>
    <t>2000142936</t>
  </si>
  <si>
    <t>ИП Прокофьев Роман Николаевич</t>
  </si>
  <si>
    <t>583702109619</t>
  </si>
  <si>
    <t>268</t>
  </si>
  <si>
    <t>2000143006</t>
  </si>
  <si>
    <t>Лашкова Валерия Александрова</t>
  </si>
  <si>
    <t>242002349514</t>
  </si>
  <si>
    <t>2000143189</t>
  </si>
  <si>
    <t>ИП Аксентьева Оксана Николаевна</t>
  </si>
  <si>
    <t>030100327697</t>
  </si>
  <si>
    <t>2000143433</t>
  </si>
  <si>
    <t>Шмаенков Михаил Владимирович</t>
  </si>
  <si>
    <t>545213114385</t>
  </si>
  <si>
    <t>2000143629</t>
  </si>
  <si>
    <t>ИП Скачков Андрей Александрович</t>
  </si>
  <si>
    <t>667221004057</t>
  </si>
  <si>
    <t>2000143630</t>
  </si>
  <si>
    <t>ИП Прусова Александра Андреевна</t>
  </si>
  <si>
    <t>402804061015</t>
  </si>
  <si>
    <t>2000143631</t>
  </si>
  <si>
    <t>ИП Зубарев Артём Максимович</t>
  </si>
  <si>
    <t>774313508643</t>
  </si>
  <si>
    <t>2000144253</t>
  </si>
  <si>
    <t>ИП Щербинин Сергей Александрович</t>
  </si>
  <si>
    <t>253696267381</t>
  </si>
  <si>
    <t>СИБЭРСИБЭМ-25/39</t>
  </si>
  <si>
    <t>2000145024</t>
  </si>
  <si>
    <t>ИП Халип Марина Николаевна</t>
  </si>
  <si>
    <t>252600668168</t>
  </si>
  <si>
    <t>2000145085</t>
  </si>
  <si>
    <t>ИП Шакиров Станислав Рашидович</t>
  </si>
  <si>
    <t>243903338774</t>
  </si>
  <si>
    <t>2000145488</t>
  </si>
  <si>
    <t>ИП Присяжнюк Мария Эдуардовна</t>
  </si>
  <si>
    <t>240801787101</t>
  </si>
  <si>
    <t>2000145926</t>
  </si>
  <si>
    <t>ИП Москвитин Дмитрий Алексеевич</t>
  </si>
  <si>
    <t>222210571926</t>
  </si>
  <si>
    <t>2000147514</t>
  </si>
  <si>
    <t>ИП Пашук Надежда Ивановна</t>
  </si>
  <si>
    <t>711405077810</t>
  </si>
  <si>
    <t>2000147786</t>
  </si>
  <si>
    <t>ИП Цховребов Ахсар Геннадиевич</t>
  </si>
  <si>
    <t>151207559610</t>
  </si>
  <si>
    <t>2000148092</t>
  </si>
  <si>
    <t>ИП Солопов Илья Владимирович</t>
  </si>
  <si>
    <t>244430438073</t>
  </si>
  <si>
    <t>Анна Павловна Ушакова</t>
  </si>
  <si>
    <t>2000148484</t>
  </si>
  <si>
    <t>ИП Стебаков Денис Юрьевич</t>
  </si>
  <si>
    <t>711611411040</t>
  </si>
  <si>
    <t>2000149955</t>
  </si>
  <si>
    <t>ИП Суходоев Павел Владимирович</t>
  </si>
  <si>
    <t>270393405583</t>
  </si>
  <si>
    <t>2000150198</t>
  </si>
  <si>
    <t>ИП Вовденко Константин Константинович</t>
  </si>
  <si>
    <t>253908135478</t>
  </si>
  <si>
    <t>2000152199</t>
  </si>
  <si>
    <t>ИП Смородина Людмила Васильевна</t>
  </si>
  <si>
    <t>590805221500</t>
  </si>
  <si>
    <t>2000154192</t>
  </si>
  <si>
    <t>ИП Татауров Александр Георгиевич</t>
  </si>
  <si>
    <t>751502541359</t>
  </si>
  <si>
    <t>Татьяна Александровна Москвитина</t>
  </si>
  <si>
    <t>2000155280</t>
  </si>
  <si>
    <t>ИП Никитина Мария Константиновна</t>
  </si>
  <si>
    <t>540698260677</t>
  </si>
  <si>
    <t>СИБЭРСИБЭМ-25/8243</t>
  </si>
  <si>
    <t>2000155425</t>
  </si>
  <si>
    <t>ИП Бобров Антон Алексеевич</t>
  </si>
  <si>
    <t>270394075169</t>
  </si>
  <si>
    <t>2000157035</t>
  </si>
  <si>
    <t>ИП Циберман Денис Александрович</t>
  </si>
  <si>
    <t>246525675936</t>
  </si>
  <si>
    <t>2000157214</t>
  </si>
  <si>
    <t>ИП Бубнова Мария Владимировна</t>
  </si>
  <si>
    <t>660310510824</t>
  </si>
  <si>
    <t>5000235420</t>
  </si>
  <si>
    <t>Ларин Евгений Владимирович</t>
  </si>
  <si>
    <t>252600154807</t>
  </si>
  <si>
    <t>5000235490</t>
  </si>
  <si>
    <t>Мельдер Владимир Александрович</t>
  </si>
  <si>
    <t>252691975318</t>
  </si>
  <si>
    <t>5000237231</t>
  </si>
  <si>
    <t>Шигапов Айрат Махмутович</t>
  </si>
  <si>
    <t>422007895823</t>
  </si>
  <si>
    <t>5000241364</t>
  </si>
  <si>
    <t>Ковтун Дмитрий Игоревич</t>
  </si>
  <si>
    <t>252691974508</t>
  </si>
  <si>
    <t>5000243759</t>
  </si>
  <si>
    <t>Борисов Виктор Александрович</t>
  </si>
  <si>
    <t>245607460560</t>
  </si>
  <si>
    <t>5000244099</t>
  </si>
  <si>
    <t>Боровков Анатолий Юрьевич</t>
  </si>
  <si>
    <t>591404434662</t>
  </si>
  <si>
    <t>5000267396</t>
  </si>
  <si>
    <t>Миндубаев Вячеслав Абдулович</t>
  </si>
  <si>
    <t>245302278718</t>
  </si>
  <si>
    <t>5000273789</t>
  </si>
  <si>
    <t>Колпаков Павел Александрович</t>
  </si>
  <si>
    <t>240700077306</t>
  </si>
  <si>
    <t>5000299252</t>
  </si>
  <si>
    <t>Юзеев Андрей Владимирович</t>
  </si>
  <si>
    <t>614880399771</t>
  </si>
  <si>
    <t>5000300233</t>
  </si>
  <si>
    <t>Карпов Андрей Петрович</t>
  </si>
  <si>
    <t>250900237708</t>
  </si>
  <si>
    <t>5000311173</t>
  </si>
  <si>
    <t>Прокопенко Александр Анатольевич</t>
  </si>
  <si>
    <t>252602157225</t>
  </si>
  <si>
    <t>5000311316</t>
  </si>
  <si>
    <t>Фоменко Анастасия Сергеевна</t>
  </si>
  <si>
    <t>171701124162</t>
  </si>
  <si>
    <t>КОМАНДИРОВКА</t>
  </si>
  <si>
    <t>5000321931</t>
  </si>
  <si>
    <t>Авдонин Игорь Валерьевич</t>
  </si>
  <si>
    <t>252500023092</t>
  </si>
  <si>
    <t>5000327814</t>
  </si>
  <si>
    <t>Суворов Сергей Александрович</t>
  </si>
  <si>
    <t>190306902020</t>
  </si>
  <si>
    <t>5000332993</t>
  </si>
  <si>
    <t>Телегин Алексей Александрович</t>
  </si>
  <si>
    <t>245905339865</t>
  </si>
  <si>
    <t>5000340887</t>
  </si>
  <si>
    <t>Асташкин Андрей Владимирович</t>
  </si>
  <si>
    <t>540449884298</t>
  </si>
  <si>
    <t>5000343825</t>
  </si>
  <si>
    <t>Матвеенков Сергей Валериевич</t>
  </si>
  <si>
    <t>711105264664</t>
  </si>
  <si>
    <t>5000345467</t>
  </si>
  <si>
    <t>Боромыков Юрий Андреевич</t>
  </si>
  <si>
    <t>190303734113</t>
  </si>
  <si>
    <t>5000347388</t>
  </si>
  <si>
    <t>Климентёнок Кристина Александровна</t>
  </si>
  <si>
    <t>244804031663</t>
  </si>
  <si>
    <t>5000347534</t>
  </si>
  <si>
    <t>Сачков Денис Валериевич</t>
  </si>
  <si>
    <t>245507350700</t>
  </si>
  <si>
    <t>5000348444</t>
  </si>
  <si>
    <t>Ешин Александр Алексеевич</t>
  </si>
  <si>
    <t>190208210938</t>
  </si>
  <si>
    <t>5000353436</t>
  </si>
  <si>
    <t>Зайцев Сергей Александрович</t>
  </si>
  <si>
    <t>365104495628</t>
  </si>
  <si>
    <t>5000353580</t>
  </si>
  <si>
    <t>Гиреев Константин Валерьевич</t>
  </si>
  <si>
    <t>190202929892</t>
  </si>
  <si>
    <t>5000353824</t>
  </si>
  <si>
    <t>Жовтенко Иван Евгеньевич</t>
  </si>
  <si>
    <t>424601859849</t>
  </si>
  <si>
    <t>5000356880</t>
  </si>
  <si>
    <t>Малышев Андрей Владимирович</t>
  </si>
  <si>
    <t>246309298105</t>
  </si>
  <si>
    <t>5000357757</t>
  </si>
  <si>
    <t>Черных Евгений Александрович</t>
  </si>
  <si>
    <t>245409069604</t>
  </si>
  <si>
    <t>5000357826</t>
  </si>
  <si>
    <t>Колесник Алексей Николаевич</t>
  </si>
  <si>
    <t>245606609231</t>
  </si>
  <si>
    <t>5000358075</t>
  </si>
  <si>
    <t>252600350142</t>
  </si>
  <si>
    <t>5000359091</t>
  </si>
  <si>
    <t>Соколов Александр Евгеньевич</t>
  </si>
  <si>
    <t>190207489290</t>
  </si>
  <si>
    <t>5000360439</t>
  </si>
  <si>
    <t>Федоров Олег Михайлович</t>
  </si>
  <si>
    <t>245903530457</t>
  </si>
  <si>
    <t>5000361762</t>
  </si>
  <si>
    <t>Щегорец Евгений Анатольевич</t>
  </si>
  <si>
    <t>344110727777</t>
  </si>
  <si>
    <t>5000364633</t>
  </si>
  <si>
    <t>Киселев Алексей Павлович</t>
  </si>
  <si>
    <t>631801834037</t>
  </si>
  <si>
    <t>5000365558</t>
  </si>
  <si>
    <t>Василевская Евгения Алексеевна</t>
  </si>
  <si>
    <t>252602512624</t>
  </si>
  <si>
    <t>5000367926</t>
  </si>
  <si>
    <t>Солкин Степан Игоревич</t>
  </si>
  <si>
    <t>660310620062</t>
  </si>
  <si>
    <t>5000368583</t>
  </si>
  <si>
    <t>Семёнов Артём Владимирович</t>
  </si>
  <si>
    <t>422805053210</t>
  </si>
  <si>
    <t>5000370126</t>
  </si>
  <si>
    <t>Балабин Артем Александрович</t>
  </si>
  <si>
    <t>245012077689</t>
  </si>
  <si>
    <t>5000370385</t>
  </si>
  <si>
    <t>Зимин Андрей Романович</t>
  </si>
  <si>
    <t>753002799280</t>
  </si>
  <si>
    <t>5000370397</t>
  </si>
  <si>
    <t>Зиновьев Андрей Борисович</t>
  </si>
  <si>
    <t>245907525546</t>
  </si>
  <si>
    <t>5000370430</t>
  </si>
  <si>
    <t>Дрозд Евгений Викторович</t>
  </si>
  <si>
    <t>272590554901</t>
  </si>
  <si>
    <t>5000370467</t>
  </si>
  <si>
    <t>Кирилович Виктор Иванович</t>
  </si>
  <si>
    <t>246220810370</t>
  </si>
  <si>
    <t>5000370474</t>
  </si>
  <si>
    <t>Заплетин Денис Александрович</t>
  </si>
  <si>
    <t>641797370241</t>
  </si>
  <si>
    <t>5000370767</t>
  </si>
  <si>
    <t>Михеев Виталий Петрович</t>
  </si>
  <si>
    <t>244202549539</t>
  </si>
  <si>
    <t>5000370815</t>
  </si>
  <si>
    <t>Нальгиев Илез Магомедгиреевич</t>
  </si>
  <si>
    <t>151211220481</t>
  </si>
  <si>
    <t>5000370900</t>
  </si>
  <si>
    <t>Науменко Вячеслав Николаевич</t>
  </si>
  <si>
    <t>270414210997</t>
  </si>
  <si>
    <t>5000370902</t>
  </si>
  <si>
    <t>Остапенко Вячеслав Леонидович</t>
  </si>
  <si>
    <t>420535986971</t>
  </si>
  <si>
    <t>5000370962</t>
  </si>
  <si>
    <t>Рыгун Сергей Леонидович</t>
  </si>
  <si>
    <t>270700365670</t>
  </si>
  <si>
    <t>5000370993</t>
  </si>
  <si>
    <t>Пузанский Владислав Анатольевич</t>
  </si>
  <si>
    <t>662345197532</t>
  </si>
  <si>
    <t>5000371067</t>
  </si>
  <si>
    <t>Смольников Сергей Борисович</t>
  </si>
  <si>
    <t>422207627726</t>
  </si>
  <si>
    <t>5000371085</t>
  </si>
  <si>
    <t>Седых Ольга Владимировна</t>
  </si>
  <si>
    <t>312708174500</t>
  </si>
  <si>
    <t>5000371126</t>
  </si>
  <si>
    <t>Тамилов Василий Александрович</t>
  </si>
  <si>
    <t>245900611098</t>
  </si>
  <si>
    <t>5000371143</t>
  </si>
  <si>
    <t>Синицын Андрей Сергеевич</t>
  </si>
  <si>
    <t>245903915552</t>
  </si>
  <si>
    <t>5000371269</t>
  </si>
  <si>
    <t>Шарашин Александр Олегович</t>
  </si>
  <si>
    <t>241601698167</t>
  </si>
  <si>
    <t>5000371287</t>
  </si>
  <si>
    <t>Шарафутдинов Руслан Римович</t>
  </si>
  <si>
    <t>245906235594</t>
  </si>
  <si>
    <t>5000371316</t>
  </si>
  <si>
    <t>Юферев Сергей Николаевич</t>
  </si>
  <si>
    <t>246001187804</t>
  </si>
  <si>
    <t>5000371332</t>
  </si>
  <si>
    <t>Чунарев Евгений Эдуардович</t>
  </si>
  <si>
    <t>246311869740</t>
  </si>
  <si>
    <t>5000371385</t>
  </si>
  <si>
    <t>Щеглов Александр Артурович</t>
  </si>
  <si>
    <t>027306523878</t>
  </si>
  <si>
    <t>5000372461</t>
  </si>
  <si>
    <t>Семенов Сергей Александрович</t>
  </si>
  <si>
    <t>781710742344</t>
  </si>
  <si>
    <t>5000373781</t>
  </si>
  <si>
    <t>Гофман Любовь Александровна</t>
  </si>
  <si>
    <t>251701081624</t>
  </si>
  <si>
    <t>5000373978</t>
  </si>
  <si>
    <t>Галиев Марат Наилевич</t>
  </si>
  <si>
    <t>026616335745</t>
  </si>
  <si>
    <t>5000374004</t>
  </si>
  <si>
    <t>Абилов Тахир Юсупович</t>
  </si>
  <si>
    <t>301608940985</t>
  </si>
  <si>
    <t>5000374041</t>
  </si>
  <si>
    <t>Бикшаев Андрей Павлович</t>
  </si>
  <si>
    <t>562401699800</t>
  </si>
  <si>
    <t>5000374066</t>
  </si>
  <si>
    <t>Коновалов Максим Дмитриевич</t>
  </si>
  <si>
    <t>026901268825</t>
  </si>
  <si>
    <t>5000374078</t>
  </si>
  <si>
    <t>Ковалев Константин Владимирович</t>
  </si>
  <si>
    <t>245302217507</t>
  </si>
  <si>
    <t>5000374097</t>
  </si>
  <si>
    <t>Круглов Алексей Сергеевич</t>
  </si>
  <si>
    <t>667004697742</t>
  </si>
  <si>
    <t>5000374139</t>
  </si>
  <si>
    <t>Ступин Андрей Николаевич</t>
  </si>
  <si>
    <t>381907751419</t>
  </si>
  <si>
    <t>5000374182</t>
  </si>
  <si>
    <t>Маринченко Илья Павлович</t>
  </si>
  <si>
    <t>245909403007</t>
  </si>
  <si>
    <t>5000374188</t>
  </si>
  <si>
    <t>Чеботарь Денис Никитович</t>
  </si>
  <si>
    <t>741803790345</t>
  </si>
  <si>
    <t>5000374928</t>
  </si>
  <si>
    <t>Юст Олег Федорович</t>
  </si>
  <si>
    <t>552201564609</t>
  </si>
  <si>
    <t>5000375087</t>
  </si>
  <si>
    <t>Панова Альвина Игоревна</t>
  </si>
  <si>
    <t>252600538708</t>
  </si>
  <si>
    <t>5000375243</t>
  </si>
  <si>
    <t>Иванникова Ирина Сергеевна</t>
  </si>
  <si>
    <t>252601478716</t>
  </si>
  <si>
    <t>5000375514</t>
  </si>
  <si>
    <t>Буланов Виктор Александрович</t>
  </si>
  <si>
    <t>246403025465</t>
  </si>
  <si>
    <t>5000376401</t>
  </si>
  <si>
    <t>Пынько Наталья Викторовна</t>
  </si>
  <si>
    <t>245603775142</t>
  </si>
  <si>
    <t>5000377217</t>
  </si>
  <si>
    <t>Кошевой Алексей Юрьевич</t>
  </si>
  <si>
    <t>745802188350</t>
  </si>
  <si>
    <t>5000377242</t>
  </si>
  <si>
    <t>Шевченко Петр Николаевич</t>
  </si>
  <si>
    <t>611802707014</t>
  </si>
  <si>
    <t>5000378569</t>
  </si>
  <si>
    <t>Саркенов Сарсенбай Булатович</t>
  </si>
  <si>
    <t>562300147480</t>
  </si>
  <si>
    <t>5000378755</t>
  </si>
  <si>
    <t>Пискунов Сергей Анатольевич</t>
  </si>
  <si>
    <t>250705480963</t>
  </si>
  <si>
    <t>5000379070</t>
  </si>
  <si>
    <t>Кузнецов Вячеслав Анатольевич</t>
  </si>
  <si>
    <t>245601878022</t>
  </si>
  <si>
    <t>5000379201</t>
  </si>
  <si>
    <t>Касьян Михаил Юрьевич</t>
  </si>
  <si>
    <t>244203616731</t>
  </si>
  <si>
    <t>5000379539</t>
  </si>
  <si>
    <t>Кузнецов Вячеслав Александрович</t>
  </si>
  <si>
    <t>244307843577</t>
  </si>
  <si>
    <t>5000379618</t>
  </si>
  <si>
    <t>Шанхоев Руслан Гириханович</t>
  </si>
  <si>
    <t>060341212204</t>
  </si>
  <si>
    <t>5000379790</t>
  </si>
  <si>
    <t>Чернышев Евгений Владимирович</t>
  </si>
  <si>
    <t>244316689635</t>
  </si>
  <si>
    <t>5000380071</t>
  </si>
  <si>
    <t>Бубяшев Руслан Геннадьевич</t>
  </si>
  <si>
    <t>421507321617</t>
  </si>
  <si>
    <t>5000380211</t>
  </si>
  <si>
    <t>Колодезный Филипп Анатольевич</t>
  </si>
  <si>
    <t>662335386971</t>
  </si>
  <si>
    <t>5000380235</t>
  </si>
  <si>
    <t>Пойманов Александр Викторович</t>
  </si>
  <si>
    <t>245904165454</t>
  </si>
  <si>
    <t>5000380882</t>
  </si>
  <si>
    <t>Козлов Сергей Николаевич</t>
  </si>
  <si>
    <t>742498835574</t>
  </si>
  <si>
    <t>5000381685</t>
  </si>
  <si>
    <t>Чумаков Александр Николаевич</t>
  </si>
  <si>
    <t>143320269903</t>
  </si>
  <si>
    <t>5000383623</t>
  </si>
  <si>
    <t>Волков Сергей Викторович</t>
  </si>
  <si>
    <t>244300652005</t>
  </si>
  <si>
    <t>5000383918</t>
  </si>
  <si>
    <t>Сибиряков Артём Юрьевич</t>
  </si>
  <si>
    <t>246506484870</t>
  </si>
  <si>
    <t>5000384436</t>
  </si>
  <si>
    <t>Иняев Владимир Александрович</t>
  </si>
  <si>
    <t>581139307403</t>
  </si>
  <si>
    <t>5000384566</t>
  </si>
  <si>
    <t>Сериков Сергей Николаевич</t>
  </si>
  <si>
    <t>245906344875</t>
  </si>
  <si>
    <t>5000384757</t>
  </si>
  <si>
    <t>Лукьянец Павел Олегович</t>
  </si>
  <si>
    <t>245689592250</t>
  </si>
  <si>
    <t>5000385166</t>
  </si>
  <si>
    <t>Останин Максим Игоревич</t>
  </si>
  <si>
    <t>241302924509</t>
  </si>
  <si>
    <t>5000385633</t>
  </si>
  <si>
    <t>Попов Владимир Викторович</t>
  </si>
  <si>
    <t>381910424041</t>
  </si>
  <si>
    <t>5000386308</t>
  </si>
  <si>
    <t>Ульяницкая Кира Васильевна</t>
  </si>
  <si>
    <t>246602252335</t>
  </si>
  <si>
    <t>5000386609</t>
  </si>
  <si>
    <t>Орешников Сергей Владимирович</t>
  </si>
  <si>
    <t>211901228029</t>
  </si>
  <si>
    <t>5000386882</t>
  </si>
  <si>
    <t>Сумароков Вадим Михайлович</t>
  </si>
  <si>
    <t>381707749684</t>
  </si>
  <si>
    <t>5000387865</t>
  </si>
  <si>
    <t>Самочкин Денис Владимирович</t>
  </si>
  <si>
    <t>110380215376</t>
  </si>
  <si>
    <t>5000389277</t>
  </si>
  <si>
    <t>Сахнов Андрей Александрович</t>
  </si>
  <si>
    <t>245505141839</t>
  </si>
  <si>
    <t>5000389296</t>
  </si>
  <si>
    <t>Стратинский Павел Викторович</t>
  </si>
  <si>
    <t>564203865111</t>
  </si>
  <si>
    <t>5000389439</t>
  </si>
  <si>
    <t>Степанов Михаил Сергеевич</t>
  </si>
  <si>
    <t>244313801889</t>
  </si>
  <si>
    <t>5000390027</t>
  </si>
  <si>
    <t>Букенов Константин Николаевич</t>
  </si>
  <si>
    <t>183309272506</t>
  </si>
  <si>
    <t>5000390836</t>
  </si>
  <si>
    <t>Пьянков Алексей Владимирович</t>
  </si>
  <si>
    <t>291501034380</t>
  </si>
  <si>
    <t>5000390887</t>
  </si>
  <si>
    <t>Антипов Константин Игоревич</t>
  </si>
  <si>
    <t>246214618935</t>
  </si>
  <si>
    <t>5000390901</t>
  </si>
  <si>
    <t>Пономарев Павел Александрович</t>
  </si>
  <si>
    <t>244602657754</t>
  </si>
  <si>
    <t>5000391611</t>
  </si>
  <si>
    <t>Лазаренко Михаил Владимирович</t>
  </si>
  <si>
    <t>920360401742</t>
  </si>
  <si>
    <t>5000391615</t>
  </si>
  <si>
    <t>Залезинский Валерий Владимирович</t>
  </si>
  <si>
    <t>391303401231</t>
  </si>
  <si>
    <t>5000391792</t>
  </si>
  <si>
    <t>Курманали Алишер</t>
  </si>
  <si>
    <t>270004284402</t>
  </si>
  <si>
    <t>5000392637</t>
  </si>
  <si>
    <t>Бирюков Константин Игоревич</t>
  </si>
  <si>
    <t>242202083325</t>
  </si>
  <si>
    <t>5000393321</t>
  </si>
  <si>
    <t>Котенко Иван Валерьевич</t>
  </si>
  <si>
    <t>560913918730</t>
  </si>
  <si>
    <t>5000393322</t>
  </si>
  <si>
    <t>Гринчишин Павел Андреевич</t>
  </si>
  <si>
    <t>100702208316</t>
  </si>
  <si>
    <t>5000393608</t>
  </si>
  <si>
    <t>Горбачев Владимир Игоревич</t>
  </si>
  <si>
    <t>242101527084</t>
  </si>
  <si>
    <t>5000393703</t>
  </si>
  <si>
    <t>Дозоров Александр Александрович</t>
  </si>
  <si>
    <t>343523655071</t>
  </si>
  <si>
    <t>5000395337</t>
  </si>
  <si>
    <t>Балабанов Сергей Геннадьевич</t>
  </si>
  <si>
    <t>590606400287</t>
  </si>
  <si>
    <t>5000395908</t>
  </si>
  <si>
    <t>Шурыгин Николай Алексеевич</t>
  </si>
  <si>
    <t>553503835511</t>
  </si>
  <si>
    <t>5000396112</t>
  </si>
  <si>
    <t>Шурыгина Любовь Юрьевна</t>
  </si>
  <si>
    <t>553201593055</t>
  </si>
  <si>
    <t>5000397358</t>
  </si>
  <si>
    <t>Пушкин Джура Рахмонович</t>
  </si>
  <si>
    <t>245509249375</t>
  </si>
  <si>
    <t>5000400685</t>
  </si>
  <si>
    <t>Санжижапов Алдар Цырен-Доржиевич</t>
  </si>
  <si>
    <t>032626746694</t>
  </si>
  <si>
    <t>5000400943</t>
  </si>
  <si>
    <t>Рыбинский Олег Геннадьевич</t>
  </si>
  <si>
    <t>244312408185</t>
  </si>
  <si>
    <t>5000405195</t>
  </si>
  <si>
    <t>Бондаренко Дмитрий Николаевич</t>
  </si>
  <si>
    <t>250901383099</t>
  </si>
  <si>
    <t>Итого:</t>
  </si>
  <si>
    <t>Необходима претензионная работа по нарушению конечного срока и по возврату аванса, и расторжение договора Претензия будет инициирована в срок до 30.03.26</t>
  </si>
  <si>
    <t>Работы выполняются. Направлено письмо Исх-6.19.18-131143-25-0-0 от 08.12.2025 о нарушении договорных обязательств. КА выполнил не полный объём работ по договору. Не предоставил документы для закрытия на выполненный объём</t>
  </si>
  <si>
    <t>действующий, срок выполнения по 25.07.2026</t>
  </si>
  <si>
    <r>
      <t xml:space="preserve">ДС на продление сроков согласовано, на заключении, отработка ПУР. Претензионная работа пока не требуется. </t>
    </r>
    <r>
      <rPr>
        <sz val="11"/>
        <color rgb="FFFF0000"/>
        <rFont val="Calibri"/>
        <family val="2"/>
        <charset val="204"/>
        <scheme val="minor"/>
      </rPr>
      <t>По данному договору срок истек 31.12.2025, выплачен аванс 10%, закрытий не было.</t>
    </r>
  </si>
  <si>
    <t xml:space="preserve">срок выполнения работ до 30.09.2023,  цена договора составляет 220 000 000  работы приняты  согласно Акту от 25.12.2023 на сумму 43 812 973,86, оплата 43 852 973,86, задолженность в пользу АО "СиБЭР" 40 000 </t>
  </si>
  <si>
    <t>цена договора составляет 239 187 892,06 работы приняты на сумму 30 016 042,65/ выплачен аванс 23 080 000, задолженность в пользу АО "СибЭР" 11 199 812,9, По ДС №5 сумма договора 26 828 728,38 руб., все работы выполнены. Подготовлена СЗ на инициацию претензионной работы за невозврат остатков аванса.</t>
  </si>
  <si>
    <t>Требуется работа по анализу причин невыполнения и наличия обращений от КА, и др.факторов, для оценки правомерности выставления претензии. Аванс не отработан</t>
  </si>
  <si>
    <t>Комментарии куратора</t>
  </si>
  <si>
    <t>Претензия 6.19.13-7659 от 29.01.2026  на сумму 21 485 342,86 пеня за нарушение сроков выполнения работ</t>
  </si>
  <si>
    <t>Претензия  6.19.13-7400 от 29.01.2026 о возврате аванса и штрафной неустойки, на сумму 7 100 000 ответ не поступал</t>
  </si>
  <si>
    <t>Претензия 6.19.13-137136 от 19.12.2025 пеня за нарушение сроков выполнения работ на сумму 95 186,68 пени</t>
  </si>
  <si>
    <t>Претензия № 6.19.13-137136 от 19.12.2025 на сумму 1 470 337,89 пеня за нарушение сроков выполнения работ</t>
  </si>
  <si>
    <t>согласительный ответ от 16.02.2026 № 16-02/26-1</t>
  </si>
  <si>
    <t>Претензия 6.19.13-121596 от 17.11.2025, штраф в размере  24 943,67, Претензия 6.19.13-121581 от 17.11.2025, пеня в размере  3 508 575,88</t>
  </si>
  <si>
    <t>Претензия 6.19.13-115627 от 31.10.2025 штраф за нарушение сроков предоставления графика 281 864,37</t>
  </si>
  <si>
    <t>Претензия 6.19.13-114106 от 29.10.2025 пеня за нарушение сроков выполнения работ 1 750 192,53</t>
  </si>
  <si>
    <t>Претензия 6.19.13-121601 от 17.11.2025, штраф за нарушение сроков предоставления графика в размере  85 929,79, Претензия 6.19.12-121569 от 17.11.2025 пеня 1 761 560,63</t>
  </si>
  <si>
    <t>Решением АС КК от 25.08.2025 иск удовлетворен частично: взыскано 11394579,32 руб. неосновательного обогащения, 6121921,14 руб. неустойки, 1297193,62 руб. проценты 1297193,62 руб., 237881,35 руб., 378034 руб. госпошлина. 340936 руб. возрат госпошлины из ФБ. 01.12.2025 3ААС решение АС КК  оставлено без изменения, а АЖ без удовлетворения. Определением суда от 09.02.2026 судом должнику предоставлена рассрочка исполнения судебного акта. Постановлением СПИ Ленинского ОСП г. Иркутска возбуждено исполнительное производство №43816/26/38019-ИП</t>
  </si>
  <si>
    <t>Претензионная работа не требуется. Аванс не отработан. ДС на продление сроков на согласовании</t>
  </si>
  <si>
    <t>*штраф 300 000</t>
  </si>
  <si>
    <t>КА выполнил не полный объём работ по договору. Не предоставил документы для закрытия на выполненный объём</t>
  </si>
  <si>
    <t xml:space="preserve"> цена договора составляет 22 686 666,70  работы приняты согласно Акту от 29.02.2024 на сумму 21 300 538,05, задолженность в пользу АО "СибЭР" 20 000,00  (штраф)</t>
  </si>
  <si>
    <t>03.03.26 направлена СЗ на инициацию претензионной работы в ЮУ, подготовка ЮУ претензии</t>
  </si>
  <si>
    <t xml:space="preserve">исполнен, по факт объему </t>
  </si>
  <si>
    <t>Выполнение комплекса электромонтажных работ по модернизации электрооборудования, раскладки силовых и контрольных кабелей, замене КИПиА и сопровождение пусконаладочных работ на энергоблоке №3 и №6, ЦНС, БНС-1 Приморской ГРЭС</t>
  </si>
  <si>
    <t>В связи с реорганизацией данное предприятие прекратило свою деятельность на объектах АО Прим ГРЭС. Требуется претензионная работа</t>
  </si>
  <si>
    <t>Расторжение договора по соглашению сторон</t>
  </si>
  <si>
    <t>Нарушения со стороны Субподрядчика по срокам выполнения. Нарушения со стороны СибЭМ по обеспечению строительной готовности.</t>
  </si>
  <si>
    <t xml:space="preserve">невыполнение на сумму 176 409,83,  будет ДС к факту? </t>
  </si>
  <si>
    <t xml:space="preserve"> Соглашение №5 о переводе долга</t>
  </si>
  <si>
    <t>Соглашение № 5 о переводе долга</t>
  </si>
  <si>
    <t xml:space="preserve"> Соглашение №6 о переводе долга</t>
  </si>
  <si>
    <t xml:space="preserve"> Соглашение №7 о переводе долга</t>
  </si>
  <si>
    <t xml:space="preserve"> Соглашение №8 о переводе долга</t>
  </si>
  <si>
    <t xml:space="preserve"> Соглашение №9 о переводе долга</t>
  </si>
  <si>
    <t xml:space="preserve"> Соглашение №10 о переводе долга</t>
  </si>
  <si>
    <t>Соглашение №6 о переводе долга</t>
  </si>
  <si>
    <t>Соглашение №7 о переводе долга</t>
  </si>
  <si>
    <t>Соглашение №8 о переводе долга</t>
  </si>
  <si>
    <t>Соглашение №9 о переводе долга</t>
  </si>
  <si>
    <t>Соглашение №10 о переводе долга</t>
  </si>
  <si>
    <t>Продление сроков по 30.12.2025</t>
  </si>
  <si>
    <t xml:space="preserve">ДС № 2 к договору </t>
  </si>
  <si>
    <r>
      <t>Работы по договору субподрядчиком выполнены. 
Дата последней КС-2? Завершены работы в срок или нет?</t>
    </r>
    <r>
      <rPr>
        <sz val="11"/>
        <color rgb="FFFF0000"/>
        <rFont val="Calibri"/>
        <family val="2"/>
        <charset val="204"/>
        <scheme val="minor"/>
      </rPr>
      <t xml:space="preserve"> КС-3 от 26.01.2026 принята на сумму 71 236 646,80, срок выполнения работ с  04.03.2025 по 30.12.2025, сроки не нарушены</t>
    </r>
  </si>
  <si>
    <t>Соглашение №7 о переводе долга на Энергосилу</t>
  </si>
  <si>
    <t>Соглашение №7 о переводе долга по Договору СИБЭРСИБЭМ-25/2246 на Энергосилу (5264917,00 руб)</t>
  </si>
  <si>
    <t>Соглашение №8 о переводе долга на Энергосилу</t>
  </si>
  <si>
    <t> 9000603741</t>
  </si>
  <si>
    <t>Соглашение об уступке №8</t>
  </si>
  <si>
    <r>
      <t xml:space="preserve">Нарушение на 1 мес. по объективным причинам закрытия работ. </t>
    </r>
    <r>
      <rPr>
        <sz val="11"/>
        <color rgb="FFFF0000"/>
        <rFont val="Calibri"/>
        <family val="2"/>
        <charset val="204"/>
        <scheme val="minor"/>
      </rPr>
      <t xml:space="preserve"> КС-3 от 25.12.2025 принята на сумму  62 380 511,21, срок выполнения работ с  22.04.2025 по 28.11.2025, сроки нарушены на 1 мес</t>
    </r>
  </si>
  <si>
    <r>
      <t xml:space="preserve">Требуется претензия </t>
    </r>
    <r>
      <rPr>
        <sz val="11"/>
        <color rgb="FFFF0000"/>
        <rFont val="Calibri"/>
        <family val="2"/>
        <charset val="204"/>
        <scheme val="minor"/>
      </rPr>
      <t>КС-3 от 16.03.2026 принята на сумму  56 961 505,13, срок выполнения работ с  момента подписания по 19.11.2025, сроки нарушены</t>
    </r>
  </si>
  <si>
    <r>
      <t xml:space="preserve">Требуется претензия </t>
    </r>
    <r>
      <rPr>
        <sz val="11"/>
        <color rgb="FFFF0000"/>
        <rFont val="Calibri"/>
        <family val="2"/>
        <charset val="204"/>
        <scheme val="minor"/>
      </rPr>
      <t>КС-3 от 12.12.2025 принята на сумму 30 283 583,09, срок выполнения работ с 05.06.2025 по 30.09.2025, сроки нарушены</t>
    </r>
  </si>
  <si>
    <t xml:space="preserve">ДС №2 к Договору СИБЭРСИБЭМ-25/2912 </t>
  </si>
  <si>
    <t>корректировка сроков выполнения работ по шифрам, увеличение дополнительных работ на 17 461 833,81 руб.</t>
  </si>
  <si>
    <t>с 01.07.2025 по 20.12.2025</t>
  </si>
  <si>
    <t>Договор СИБЭРСИБЭМ-25/4188</t>
  </si>
  <si>
    <r>
      <t xml:space="preserve">Срок нарушен по нашим обстоятельствам - требовалось заключение ДС  </t>
    </r>
    <r>
      <rPr>
        <sz val="11"/>
        <color rgb="FFFF0000"/>
        <rFont val="Calibri"/>
        <family val="2"/>
        <charset val="204"/>
        <scheme val="minor"/>
      </rPr>
      <t>КС-3 от 29.12.2025 принята на сумму 20 927 621,7, срок выполнения работ по 30.12.2025, сроки не нарушены</t>
    </r>
  </si>
  <si>
    <t>цена договора 53 132 366,27 работы приняты на сумму 35 975 238,3, на каком этапе выполнение работ? Есть-ли необходимость в ведении претензионной работе?</t>
  </si>
  <si>
    <r>
      <t>Куда перераспределены работы на 17 млн? Почему?</t>
    </r>
    <r>
      <rPr>
        <sz val="11"/>
        <color rgb="FFFF0000"/>
        <rFont val="Calibri"/>
        <family val="2"/>
        <charset val="204"/>
        <scheme val="minor"/>
      </rPr>
      <t xml:space="preserve"> КС-3 от 20.02.2026 принята на сумму 20 927 621,7, срок выполнения работ по 30.01.2026, невыполнение/ сроки нарушены</t>
    </r>
  </si>
  <si>
    <t xml:space="preserve"> с даты получения аванса, но не позднее 21 календарного дня с даты подписания договора, окончание в течение 75 кд</t>
  </si>
  <si>
    <t>4 599 885,6 от 18.12.2025</t>
  </si>
  <si>
    <r>
      <t xml:space="preserve">Работы по последней КС выполнены в срок или нет? </t>
    </r>
    <r>
      <rPr>
        <sz val="11"/>
        <color rgb="FFFF0000"/>
        <rFont val="Calibri"/>
        <family val="2"/>
        <charset val="204"/>
        <scheme val="minor"/>
      </rPr>
      <t xml:space="preserve"> КС-3 от 12.01.2026 принята на сумму 10 495 625,84, срок выполнения работ по 02.03.2026, невыполнение</t>
    </r>
  </si>
  <si>
    <t>31 620 129,6 от 18.12.2025</t>
  </si>
  <si>
    <t>цена договора 508 296 371,20, требуется ли претензионная работа?</t>
  </si>
  <si>
    <t>цена договора739 059 928,52, работы приняты согласно Акту сверки от 06.03.2026 на сумму 455 473 870,74, невыполнение 326 363 315,99 требуется ли претензионная работа?</t>
  </si>
  <si>
    <t>Договор СИБЭРСИБЭМ-24/2859</t>
  </si>
  <si>
    <r>
      <t xml:space="preserve">29 млн. не выполненных работ куда перераспределили? Почему? </t>
    </r>
    <r>
      <rPr>
        <sz val="11"/>
        <color rgb="FFFF0000"/>
        <rFont val="Times New Roman"/>
        <family val="1"/>
        <charset val="204"/>
      </rPr>
      <t>КС-3 от 16.12.2025 принята на сумму 897 142 682,88, срок выполнения работ по 01.11.2025, невыполнение/ сроки нарушены</t>
    </r>
  </si>
  <si>
    <r>
      <t xml:space="preserve">Работы выполнены по договору или нет? Куда перераспределен остаток 24 млн? Почему? </t>
    </r>
    <r>
      <rPr>
        <sz val="11"/>
        <color rgb="FFFF0000"/>
        <rFont val="Times New Roman"/>
        <family val="1"/>
        <charset val="204"/>
      </rPr>
      <t>КС-3 от 12.12.2025 принята на сумму 93 211 707,9, срок выполнения работ по 31.12.2025, невыполнение/ сроки нарушены</t>
    </r>
  </si>
  <si>
    <t xml:space="preserve">срок исполнения по 31.12.2025,  цена договора 119 452 680,91, работы приняты согласно Акту сверки от 20.03.2026 на сумму 95 322 126,63, невыполнение 24 130 554,28  требуется ли претензионная работа? </t>
  </si>
  <si>
    <t xml:space="preserve">срок действия по 01.11.2025, цена договора 926 972 511,77, работы приняты согласно Акту сверки от 20.03.2026 на сумму 897 142 682,88, невыполнение 29 829 828,89  задолженность в пользу АО "СибЭР" 300 000 руб, требуется ли претензионная работа? </t>
  </si>
  <si>
    <t>ДС №2 к Договору СИБЭРСИБЭМ-25/3469</t>
  </si>
  <si>
    <t>Продление срока работ, увеличение стоимости договора, изменение условий оплаты</t>
  </si>
  <si>
    <t>по 01.09.2026</t>
  </si>
  <si>
    <t>действующий по 01.09.2026</t>
  </si>
  <si>
    <r>
      <t>По какой причине договор не исполняется? Почему нет закрытия?</t>
    </r>
    <r>
      <rPr>
        <sz val="11"/>
        <color rgb="FFFF0000"/>
        <rFont val="Calibri"/>
        <family val="2"/>
        <charset val="204"/>
        <scheme val="minor"/>
      </rPr>
      <t xml:space="preserve"> Срок по 28.02.2026 КС-3 отсутствует, закрывающие документы отсутствуют</t>
    </r>
  </si>
  <si>
    <t>ДС №1 к Договору СИБЭРСИБЭМ-25/4869</t>
  </si>
  <si>
    <t>Включение работ по сопровождению ПНР, закрытие доп. работ по ч/часам (в рамках цены договора), срок по 30.12.2025, формулировка по НДС</t>
  </si>
  <si>
    <t>ДС №2 к Договору СИБЭРСИБЭМ-25/4869</t>
  </si>
  <si>
    <t>Продление сроков по 30.01.2026</t>
  </si>
  <si>
    <t>с момента обеспечения строительной готовности 30.01.2026</t>
  </si>
  <si>
    <t>срок по 30.01.2026   Невыполнение 134 668 401,35</t>
  </si>
  <si>
    <r>
      <t xml:space="preserve">По какой причине перераспределены работы на 134 млн? Почему не инициируем претензию? </t>
    </r>
    <r>
      <rPr>
        <sz val="11"/>
        <color rgb="FFFF0000"/>
        <rFont val="Calibri"/>
        <family val="2"/>
        <charset val="204"/>
        <scheme val="minor"/>
      </rPr>
      <t>КС-3 от 06.02.2026 принята на сумму 95 612 758,96 срок выполнения работ по 30.01.2026, невыполнение/ сроки нарушены</t>
    </r>
  </si>
  <si>
    <r>
      <t xml:space="preserve">Работы еще выполняются? Почему не выставляем претензию? Продленный срок выполнения работ тоже был нарушен.  </t>
    </r>
    <r>
      <rPr>
        <sz val="11"/>
        <color rgb="FFFF0000"/>
        <rFont val="Calibri"/>
        <family val="2"/>
        <charset val="204"/>
        <scheme val="minor"/>
      </rPr>
      <t>КС-3 от 02.03.2026 принята на сумму 15 384 096,58 срок выполнения работ по 31.12.2025, невыполнение/ сроки нарушены</t>
    </r>
  </si>
  <si>
    <r>
      <t xml:space="preserve">Претензионная работа, </t>
    </r>
    <r>
      <rPr>
        <sz val="11"/>
        <color rgb="FFFF0000"/>
        <rFont val="Calibri"/>
        <family val="2"/>
        <charset val="204"/>
        <scheme val="minor"/>
      </rPr>
      <t>Срок по 31.12.2025 КС-3 отсутствует, закрывающие документы отсутствуют</t>
    </r>
  </si>
  <si>
    <r>
      <t xml:space="preserve">29 млн. не выполненных работ куда перераспределили? Почему? </t>
    </r>
    <r>
      <rPr>
        <sz val="11"/>
        <color rgb="FFFF0000"/>
        <rFont val="Calibri"/>
        <family val="2"/>
        <charset val="204"/>
        <scheme val="minor"/>
      </rPr>
      <t>КС-3 от 28.10.2025 принята на сумму 6 781 802,34 срок выполнения работ по 31.12.2025, невыполнение/ сроки нарушены</t>
    </r>
  </si>
  <si>
    <r>
      <t xml:space="preserve">Договор заключался в сентябре 25 г. со сроком завершения январь 25. Договор заключался на фактически уже выполненные работы? </t>
    </r>
    <r>
      <rPr>
        <sz val="11"/>
        <color rgb="FFFF0000"/>
        <rFont val="Calibri"/>
        <family val="2"/>
        <charset val="204"/>
        <scheme val="minor"/>
      </rPr>
      <t>КС-3 от 18.11.2025 принята на сумму 47 815 944,82 срок выполнения работ по 30.01.2025, невыполнение/ сроки нарушены</t>
    </r>
  </si>
  <si>
    <r>
      <t xml:space="preserve">129 млн. не выполненных работ куда перераспределили? </t>
    </r>
    <r>
      <rPr>
        <sz val="11"/>
        <color rgb="FFFF0000"/>
        <rFont val="Calibri"/>
        <family val="2"/>
        <charset val="204"/>
        <scheme val="minor"/>
      </rPr>
      <t>Почему? КС-3 от 02.03.2026 принята на сумму 27 379 101,59 срок выполнения работ по 31.12.2025, невыполнение/ сроки нарушены</t>
    </r>
  </si>
  <si>
    <r>
      <t xml:space="preserve">14 млн. не выполненных работ куда перераспределили? Почему?  </t>
    </r>
    <r>
      <rPr>
        <sz val="11"/>
        <color rgb="FFFF0000"/>
        <rFont val="Calibri"/>
        <family val="2"/>
        <charset val="204"/>
        <scheme val="minor"/>
      </rPr>
      <t>КС-3 от 30.10.2025 принята на сумму 7 177 861,55 срок выполнения работ по 31.12.2025, невыполнение/ сроки нарушены</t>
    </r>
  </si>
  <si>
    <r>
      <t xml:space="preserve">Сроки нарушены по вине СИБЭМ </t>
    </r>
    <r>
      <rPr>
        <sz val="11"/>
        <color rgb="FFFF0000"/>
        <rFont val="Calibri"/>
        <family val="2"/>
        <charset val="204"/>
        <scheme val="minor"/>
      </rPr>
      <t>КС-3 от 25.02.2026 принята на сумму 48 547 764,17 срок выполнения работ по 30.11.2025, невыполнение/ сроки нарушены</t>
    </r>
  </si>
  <si>
    <r>
      <t xml:space="preserve">Срок нарушен? Акт строительной площадки предоставить!
8 млн. не выполненных работ куда перераспределили? Почему? </t>
    </r>
    <r>
      <rPr>
        <sz val="11"/>
        <color rgb="FFFF0000"/>
        <rFont val="Calibri"/>
        <family val="2"/>
        <charset val="204"/>
        <scheme val="minor"/>
      </rPr>
      <t>КС-3 от 18.12.2025 принята на сумму 104 206 433,47 срок выполнения работ по 15.03.2026, невыполнение</t>
    </r>
  </si>
  <si>
    <r>
      <t>28 млн. не выполненных работ куда перераспределили? Почему?</t>
    </r>
    <r>
      <rPr>
        <sz val="11"/>
        <color rgb="FFFF0000"/>
        <rFont val="Calibri"/>
        <family val="2"/>
        <charset val="204"/>
        <scheme val="minor"/>
      </rPr>
      <t xml:space="preserve"> КС-3 от 17.12.2025 принята на сумму 3 812 670 срок выполнения работ по 25.12.2025 невыполнение/сроки нарушены</t>
    </r>
  </si>
  <si>
    <r>
      <t xml:space="preserve">6 млн. не выполненных работ куда перераспределили? Почему?
Почему часть работ мы выполняли собственными силами? </t>
    </r>
    <r>
      <rPr>
        <sz val="11"/>
        <color rgb="FFFF0000"/>
        <rFont val="Calibri"/>
        <family val="2"/>
        <charset val="204"/>
        <scheme val="minor"/>
      </rPr>
      <t>КС-3 от 25.09.2025 принята на сумму 26 049 310,52 срок выполнения работ по 30.09.2025 невыполнение/сроки нарушены</t>
    </r>
  </si>
  <si>
    <r>
      <t xml:space="preserve">11 млн. не выполненных работ куда перераспределили? Почему? </t>
    </r>
    <r>
      <rPr>
        <sz val="11"/>
        <color rgb="FFFF0000"/>
        <rFont val="Calibri"/>
        <family val="2"/>
        <charset val="204"/>
        <scheme val="minor"/>
      </rPr>
      <t>КС-3 от 19.12.2025 принята на сумму 18 236 880 срок выполнения работ по 30.10.2025 невыполнение/сроки нарушены</t>
    </r>
  </si>
  <si>
    <r>
      <t xml:space="preserve">4 млн. не выполненных работ куда перераспределили? Почему? </t>
    </r>
    <r>
      <rPr>
        <sz val="11"/>
        <color rgb="FFFF0000"/>
        <rFont val="Times New Roman"/>
        <family val="1"/>
        <charset val="204"/>
      </rPr>
      <t>КС-3 от 25.12.2025 принята на сумму 27 771 113,31 срок выполнения работ по 30.10.2025 невыполнение/сроки нарушены</t>
    </r>
  </si>
  <si>
    <r>
      <t xml:space="preserve">98 млн. не выполненных работ куда перераспределили? Почему?
Почему не выставляем претензию? </t>
    </r>
    <r>
      <rPr>
        <sz val="11"/>
        <color rgb="FFFF0000"/>
        <rFont val="Times New Roman"/>
        <family val="1"/>
        <charset val="204"/>
      </rPr>
      <t>КС-3 от 16.03.2026 принята на сумму 61 650 677,46 срок выполнения работ по 20.01.2026 невыполнение/сроки нарушены</t>
    </r>
  </si>
  <si>
    <r>
      <t xml:space="preserve">Претензионная работ </t>
    </r>
    <r>
      <rPr>
        <sz val="11"/>
        <color rgb="FFFF0000"/>
        <rFont val="Calibri"/>
        <family val="2"/>
        <charset val="204"/>
        <scheme val="minor"/>
      </rPr>
      <t>КС-3 от 20.02.2026 принята на сумму 60 481 024 срок выполнения работ по 31.12.2025 невыполнение/сроки нарушены</t>
    </r>
  </si>
  <si>
    <r>
      <t xml:space="preserve">Срок нарушен или нет? Куда перераспределены невыполненные работы на 973 тыс? </t>
    </r>
    <r>
      <rPr>
        <sz val="11"/>
        <color rgb="FFFF0000"/>
        <rFont val="Times New Roman"/>
        <family val="1"/>
        <charset val="204"/>
      </rPr>
      <t xml:space="preserve"> КС-3 от 18.12.2025 принята на сумму 4 006 391,93 срок выполнения работ по 25.12.2025, невыполнение</t>
    </r>
  </si>
  <si>
    <r>
      <t xml:space="preserve">Отсутсвует срой готовность, вина СИБЭР, </t>
    </r>
    <r>
      <rPr>
        <sz val="11"/>
        <color rgb="FFFF0000"/>
        <rFont val="Calibri"/>
        <family val="2"/>
        <charset val="204"/>
        <scheme val="minor"/>
      </rPr>
      <t>КС-3 отсутствует, срок выполнения работ в течеие 45 к.д. момента предоставления строй готовности, невыполнение/ сроки нарушены</t>
    </r>
  </si>
  <si>
    <r>
      <t xml:space="preserve">По какой причине договор не исполняется? Почему нет закрытия? </t>
    </r>
    <r>
      <rPr>
        <sz val="11"/>
        <color rgb="FFFF0000"/>
        <rFont val="Calibri"/>
        <family val="2"/>
        <charset val="204"/>
        <scheme val="minor"/>
      </rPr>
      <t>КС-3 отсутствует, срок выполнения работ по 16.01.2026, невыполнение/ сроки нарушены</t>
    </r>
  </si>
  <si>
    <r>
      <t>Требуется претензия</t>
    </r>
    <r>
      <rPr>
        <sz val="11"/>
        <color rgb="FFFF0000"/>
        <rFont val="Calibri"/>
        <family val="2"/>
        <charset val="204"/>
        <scheme val="minor"/>
      </rPr>
      <t xml:space="preserve"> КС-3 отсутствует, срок выполнения работ по 31.12.2025, невыполнение/ сроки нарушены</t>
    </r>
  </si>
  <si>
    <r>
      <t xml:space="preserve">1,2 млн. не выполненных работ куда перераспределили? Почему? </t>
    </r>
    <r>
      <rPr>
        <sz val="11"/>
        <color rgb="FFFF0000"/>
        <rFont val="Times New Roman"/>
        <family val="1"/>
        <charset val="204"/>
      </rPr>
      <t>КС-3 от 06.02.2026 принята на сумму 4 953 356,68 срок выполнения работ по 25.12.2025, невыполнение</t>
    </r>
  </si>
  <si>
    <r>
      <t xml:space="preserve">Когда выполнены работы? Срок нарушен? </t>
    </r>
    <r>
      <rPr>
        <sz val="11"/>
        <color rgb="FFFF0000"/>
        <rFont val="Times New Roman"/>
        <family val="1"/>
        <charset val="204"/>
      </rPr>
      <t>КС-3 от 06.02.2026 принята на сумму 7 500 612,69 срок выполнения работ 60 к.д. с момента обеспечения строительной готовности, невыполнение</t>
    </r>
  </si>
  <si>
    <r>
      <t xml:space="preserve">Где ДС на продление? Когда будет вынесено на ЦЗК повторно? </t>
    </r>
    <r>
      <rPr>
        <sz val="11"/>
        <color rgb="FFFF0000"/>
        <rFont val="Calibri"/>
        <family val="2"/>
        <charset val="204"/>
        <scheme val="minor"/>
      </rPr>
      <t>КС-3 от 06.02.2026 принята на сумму 7 500 612,69 срок выполнения работ по 31.12.2025, невыполнение/ сроки нарушены</t>
    </r>
  </si>
  <si>
    <r>
      <t xml:space="preserve">1,4 млн. не выполненных работ куда перераспределили? Почему? </t>
    </r>
    <r>
      <rPr>
        <sz val="11"/>
        <color rgb="FFFF0000"/>
        <rFont val="Times New Roman"/>
        <family val="1"/>
        <charset val="204"/>
      </rPr>
      <t>КС-3 от 25.12.2025 принята на сумму 13 017 282,8 срок выполнения работ по 31.12.2025, невыполнение/ сроки нарушены</t>
    </r>
  </si>
  <si>
    <r>
      <t xml:space="preserve">Почему не выполняются работы? </t>
    </r>
    <r>
      <rPr>
        <sz val="11"/>
        <color rgb="FFFF0000"/>
        <rFont val="Calibri"/>
        <family val="2"/>
        <charset val="204"/>
        <scheme val="minor"/>
      </rPr>
      <t>КС-3 отсутствует, срок выполнения работ по15.01.2026, невыполнение/ сроки нарушены</t>
    </r>
  </si>
  <si>
    <r>
      <t xml:space="preserve">Почему не выполняются работы?  </t>
    </r>
    <r>
      <rPr>
        <sz val="11"/>
        <color rgb="FFFF0000"/>
        <rFont val="Calibri"/>
        <family val="2"/>
        <charset val="204"/>
        <scheme val="minor"/>
      </rPr>
      <t xml:space="preserve"> КС-3 от 05.03.2026 принята на сумму 3 341 322,01 срок выполнения работ по 28.02.2026, невыполнение/ сроки нарушены</t>
    </r>
  </si>
  <si>
    <t>срок по 28.02.2026, невыполнение 10 218 676,11</t>
  </si>
  <si>
    <r>
      <t>2,3 млн. не выполненных работ куда перераспределили? Почему?</t>
    </r>
    <r>
      <rPr>
        <sz val="11"/>
        <color rgb="FFFF0000"/>
        <rFont val="Calibri"/>
        <family val="2"/>
        <charset val="204"/>
        <scheme val="minor"/>
      </rPr>
      <t xml:space="preserve"> КС-3 от 22.12.2025 принята на сумму 2 970 522,59 срок выполнения работ по 12.01.2026, невыполнение/ сроки нарушены</t>
    </r>
  </si>
  <si>
    <r>
      <t xml:space="preserve">1,3 млн. не выполненных работ куда перераспределили? Почему? </t>
    </r>
    <r>
      <rPr>
        <sz val="11"/>
        <color rgb="FFFF0000"/>
        <rFont val="Times New Roman"/>
        <family val="1"/>
        <charset val="204"/>
      </rPr>
      <t>КС-3 от 20.01.2026 принята на сумму 4 226 904,23 срок выполнения работ по 27.12.2025, невыполнение/ сроки нарушены</t>
    </r>
  </si>
  <si>
    <r>
      <t xml:space="preserve">4,2 млн. не выполненных работ куда перераспределили? Почему? </t>
    </r>
    <r>
      <rPr>
        <sz val="11"/>
        <color rgb="FFFF0000"/>
        <rFont val="Calibri"/>
        <family val="2"/>
        <charset val="204"/>
        <scheme val="minor"/>
      </rPr>
      <t>КС-3 от 26.12.2025 принята на сумму 8 389 962,68 срок выполнения работ по 15.02.2026, невыполнение/ сроки нарушены</t>
    </r>
  </si>
  <si>
    <r>
      <t xml:space="preserve">3,3 млн. не выполненных работ куда перераспределили? Почему? </t>
    </r>
    <r>
      <rPr>
        <sz val="11"/>
        <color rgb="FFFF0000"/>
        <rFont val="Calibri"/>
        <family val="2"/>
        <charset val="204"/>
        <scheme val="minor"/>
      </rPr>
      <t xml:space="preserve"> КС-3 от 25.12.2025 принята на сумму 18 731 461,45 срок выполнения работ по 15.01.2026, невыполнение/ сроки нарушены</t>
    </r>
  </si>
  <si>
    <r>
      <t xml:space="preserve">1,1 млн. не выполненных работ куда перераспределили? Почему? </t>
    </r>
    <r>
      <rPr>
        <sz val="11"/>
        <color rgb="FFFF0000"/>
        <rFont val="Calibri"/>
        <family val="2"/>
        <charset val="204"/>
        <scheme val="minor"/>
      </rPr>
      <t>КС-3 от 09.02.2026 принята на сумму 4 004 562 срок выполнения работ по 25.12.2025, невыполнение/ сроки нарушены</t>
    </r>
  </si>
  <si>
    <r>
      <t xml:space="preserve">0,9 млн. не выполненных работ куда перераспределили? Почему? </t>
    </r>
    <r>
      <rPr>
        <sz val="11"/>
        <color rgb="FFFF0000"/>
        <rFont val="Calibri"/>
        <family val="2"/>
        <charset val="204"/>
        <scheme val="minor"/>
      </rPr>
      <t xml:space="preserve"> КС-3 от 25.12.2025 принята на сумму  275 935 633,76 срок выполнения работ по 03.08.2025, невыполнение/ сроки нарушены</t>
    </r>
  </si>
  <si>
    <r>
      <t xml:space="preserve">1,9 млн. не выполненных работ куда перераспределили? Почему? </t>
    </r>
    <r>
      <rPr>
        <sz val="11"/>
        <color rgb="FFFF0000"/>
        <rFont val="Calibri"/>
        <family val="2"/>
        <charset val="204"/>
        <scheme val="minor"/>
      </rPr>
      <t xml:space="preserve"> КС-3 от 23.06.2025 принята на сумму  19 235 313,72 срок выполнения работ по 29.04.2025, невыполнение/ сроки нарушены</t>
    </r>
  </si>
  <si>
    <t>до 10.12.2025</t>
  </si>
  <si>
    <t>ПРОЕКТ ДС № 9 к Договору СИБЭРСИБЭМ-23/2510</t>
  </si>
  <si>
    <r>
      <t xml:space="preserve">Будет инициировано ДС со сроком до 01.06.2026?   </t>
    </r>
    <r>
      <rPr>
        <sz val="11"/>
        <color rgb="FFFF0000"/>
        <rFont val="Calibri"/>
        <family val="2"/>
        <charset val="204"/>
        <scheme val="minor"/>
      </rPr>
      <t>КС-3 от 27.01.2025 принята на сумму  36 030 567,91 срок выполнения работ по 30.09.2025, невыполнение/ сроки нарушены</t>
    </r>
  </si>
  <si>
    <t>Комментарии Галахов В.С.</t>
  </si>
  <si>
    <t>ДС № 1СИБЭРСИБЭМ-25/3572</t>
  </si>
  <si>
    <t>продление сроков до 30.04.2026</t>
  </si>
  <si>
    <t>действующий до 30.04.2026</t>
  </si>
  <si>
    <r>
      <t>0,2 млн. не выполненных работ куда перераспределили? Почему?</t>
    </r>
    <r>
      <rPr>
        <sz val="11"/>
        <color rgb="FFFF0000"/>
        <rFont val="Calibri"/>
        <family val="2"/>
        <charset val="204"/>
        <scheme val="minor"/>
      </rPr>
      <t xml:space="preserve"> КС-3 от 31.03.2025 принята на сумму  9 585 244,76 срок выполнения работ по 30.03.2025, невыполнение/ сроки нарушены</t>
    </r>
  </si>
  <si>
    <r>
      <t>3,9 млн. не выполненных работ куда перераспределили? Почему?</t>
    </r>
    <r>
      <rPr>
        <sz val="11"/>
        <color rgb="FFFF0000"/>
        <rFont val="Calibri"/>
        <family val="2"/>
        <charset val="204"/>
        <scheme val="minor"/>
      </rPr>
      <t xml:space="preserve"> КС-3 от 25.10.2025 принята на сумму  60 138 773,76 срок выполнения работ по 10.10.2025, невыполнение/ сроки нарушены</t>
    </r>
  </si>
  <si>
    <r>
      <t>0,1 млн. не выполненных работ куда перераспределили? Почему?</t>
    </r>
    <r>
      <rPr>
        <sz val="11"/>
        <color rgb="FFFF0000"/>
        <rFont val="Calibri"/>
        <family val="2"/>
        <charset val="204"/>
        <scheme val="minor"/>
      </rPr>
      <t xml:space="preserve"> КС-3 от 25.10.2025 принята на сумму 549 832,61 срок выполнения работ по 10.09.2025, невыполнение/ сроки нарушены</t>
    </r>
  </si>
  <si>
    <t>Договор СИБЭРСИБЭМ-25/1784</t>
  </si>
  <si>
    <r>
      <t>5,6 млн. не выполненных работ куда перераспределили? Почему?</t>
    </r>
    <r>
      <rPr>
        <sz val="11"/>
        <color rgb="FFFF0000"/>
        <rFont val="Calibri"/>
        <family val="2"/>
        <charset val="204"/>
        <scheme val="minor"/>
      </rPr>
      <t xml:space="preserve"> КС-3 от 24.02.2026 принята на сумму 27 228 742,84  срок выполнения работ по 60 к.д. с момента передачи стройплощадки, когда передана стройплощадка? невыполнение/ сроки нарушены</t>
    </r>
  </si>
  <si>
    <r>
      <t>0,9 млн. не выполненных работ куда перераспределили? Почему?</t>
    </r>
    <r>
      <rPr>
        <sz val="11"/>
        <color rgb="FFFF0000"/>
        <rFont val="Calibri"/>
        <family val="2"/>
        <charset val="204"/>
        <scheme val="minor"/>
      </rPr>
      <t xml:space="preserve"> КС-3 от 24.02.2026 принята на сумму 69 170 453,26  срок выполнения работ по 30.04.2025 невыполнение/ сроки нарушены</t>
    </r>
  </si>
  <si>
    <r>
      <t>3,5 млн. не выполненных работ куда перераспределили? Почему?</t>
    </r>
    <r>
      <rPr>
        <sz val="11"/>
        <color rgb="FFFF0000"/>
        <rFont val="Calibri"/>
        <family val="2"/>
        <charset val="204"/>
        <scheme val="minor"/>
      </rPr>
      <t xml:space="preserve"> КС-3 от 12.08.2025 принята на сумму 4 114 757,82  срок выполнения работ по 45 к.д. с момента передачи стройплощадки, когда передана стройплощадка? невыполнение/ сроки нарушены</t>
    </r>
  </si>
  <si>
    <r>
      <t>0,1 млн. не выполненных работ куда перераспределили? Почему?</t>
    </r>
    <r>
      <rPr>
        <sz val="11"/>
        <color rgb="FFFF0000"/>
        <rFont val="Calibri"/>
        <family val="2"/>
        <charset val="204"/>
        <scheme val="minor"/>
      </rPr>
      <t xml:space="preserve"> КС-3 от 25.09.2025 принята на сумму 1 024 810,5  срок выполнения работ по 31.07.2025 невыполнение/ сроки нарушены</t>
    </r>
  </si>
  <si>
    <r>
      <t>0,4 млн. не выполненных работ куда перераспределили? Почему?</t>
    </r>
    <r>
      <rPr>
        <sz val="11"/>
        <color rgb="FFFF0000"/>
        <rFont val="Calibri"/>
        <family val="2"/>
        <charset val="204"/>
        <scheme val="minor"/>
      </rPr>
      <t xml:space="preserve"> КС-3 от 14.10.2025 принята на сумму 9 697 895,69  срок выполнения работ по 01.07.2025 невыполнение/ сроки нарушены</t>
    </r>
  </si>
  <si>
    <r>
      <t>1,1 млн. не выполненных работ куда перераспределили? Почему?</t>
    </r>
    <r>
      <rPr>
        <sz val="11"/>
        <color rgb="FFFF0000"/>
        <rFont val="Calibri"/>
        <family val="2"/>
        <charset val="204"/>
        <scheme val="minor"/>
      </rPr>
      <t xml:space="preserve"> КС-3 от 19.09.2025 принята на сумму 37 685 488,1  срок выполнения работ по 31.03.2025 невыполнение/ сроки нарушены</t>
    </r>
  </si>
  <si>
    <r>
      <t>8.9 млн. не выполненных работ куда перераспределили? Почему?</t>
    </r>
    <r>
      <rPr>
        <sz val="11"/>
        <color rgb="FFFF0000"/>
        <rFont val="Calibri"/>
        <family val="2"/>
        <charset val="204"/>
        <scheme val="minor"/>
      </rPr>
      <t xml:space="preserve"> КС-3 от 24.09.2025 принята на сумму 114 407 256,59  срок выполнения работ по 06.09.2025 невыполнение/ сроки нарушены</t>
    </r>
  </si>
  <si>
    <r>
      <t>15,4 млн. не выполненных работ куда перераспределили? Почему?</t>
    </r>
    <r>
      <rPr>
        <sz val="11"/>
        <color rgb="FFFF0000"/>
        <rFont val="Calibri"/>
        <family val="2"/>
        <charset val="204"/>
        <scheme val="minor"/>
      </rPr>
      <t xml:space="preserve"> КС-3 от 25.02.2026 принята на сумму 18 176 850,4  срок выполнения работ по 30.12.2025 невыполнение/ сроки нарушены</t>
    </r>
  </si>
  <si>
    <r>
      <t>2 млн. не выполненных работ куда перераспределили? Почему?</t>
    </r>
    <r>
      <rPr>
        <sz val="11"/>
        <color rgb="FFFF0000"/>
        <rFont val="Calibri"/>
        <family val="2"/>
        <charset val="204"/>
        <scheme val="minor"/>
      </rPr>
      <t xml:space="preserve"> КС-3 от 25.02.2026 принята на сумму 79 822 659,04  срок выполнения работ по 30.10.2025 невыполнение/ сроки нарушены</t>
    </r>
  </si>
  <si>
    <r>
      <t>23 млн. не выполненных работ куда перераспределили? Почему?</t>
    </r>
    <r>
      <rPr>
        <sz val="11"/>
        <color rgb="FFFF0000"/>
        <rFont val="Calibri"/>
        <family val="2"/>
        <charset val="204"/>
        <scheme val="minor"/>
      </rPr>
      <t xml:space="preserve"> КС-3 от 25.12.2025 принята на сумму 99 863 908,41  срок выполнения работ по 30.10.2025 невыполнение/ сроки нарушены</t>
    </r>
  </si>
  <si>
    <r>
      <t>6,2 млн. не выполненных работ куда перераспределили? Почему?</t>
    </r>
    <r>
      <rPr>
        <sz val="11"/>
        <color rgb="FFFF0000"/>
        <rFont val="Calibri"/>
        <family val="2"/>
        <charset val="204"/>
        <scheme val="minor"/>
      </rPr>
      <t xml:space="preserve"> Обротов по акту нет,срок выполнения по 30.09.2025, невыполнение/ сроки нарушены</t>
    </r>
  </si>
  <si>
    <r>
      <t>1 млн. не выполненных работ куда перераспределили? Почему?</t>
    </r>
    <r>
      <rPr>
        <sz val="11"/>
        <color rgb="FFFF0000"/>
        <rFont val="Calibri"/>
        <family val="2"/>
        <charset val="204"/>
        <scheme val="minor"/>
      </rPr>
      <t xml:space="preserve"> КС-3 от 01.12.2025 принята на сумму 19 091 666,53  срок выполнения работ не более 30 календарных дней с момента обеспечения строительной
готовности, когда передана сройготовность? невыполнение/ сроки нарушены</t>
    </r>
  </si>
  <si>
    <r>
      <t>115 млн. не выполненных работ куда перераспределили? Почему?</t>
    </r>
    <r>
      <rPr>
        <sz val="11"/>
        <color rgb="FFFF0000"/>
        <rFont val="Calibri"/>
        <family val="2"/>
        <charset val="204"/>
        <scheme val="minor"/>
      </rPr>
      <t xml:space="preserve"> КС-3 от 28.11.2025 принята на сумму 26 279 550,54  срок выполнения работ по 20.09.2025 невыполнение/ сроки нарушены</t>
    </r>
  </si>
  <si>
    <r>
      <t>4.3 млн. не выполненных работ куда перераспределили? Почему?</t>
    </r>
    <r>
      <rPr>
        <sz val="11"/>
        <color rgb="FFFF0000"/>
        <rFont val="Calibri"/>
        <family val="2"/>
        <charset val="204"/>
        <scheme val="minor"/>
      </rPr>
      <t xml:space="preserve"> Обротов по акту нет,срок выполнения 30 к.д. с момента предоставления строительной
готовности, когда передана сройготовность? невыполнение/ сроки нарушены</t>
    </r>
  </si>
  <si>
    <r>
      <t>11,5 млн. не выполненных работ куда перераспределили? Почему?</t>
    </r>
    <r>
      <rPr>
        <sz val="11"/>
        <color rgb="FFFF0000"/>
        <rFont val="Calibri"/>
        <family val="2"/>
        <charset val="204"/>
        <scheme val="minor"/>
      </rPr>
      <t xml:space="preserve"> КС-3 от 19.02.2026 принята на сумму 16 165 828,19  срок выполнения работ по 30.09.2025 невыполнение/ сроки нарушены</t>
    </r>
  </si>
  <si>
    <r>
      <t xml:space="preserve">2,8 млн. не выполненных работ куда перераспределили? Почему?
Почему выполняли часть работ собсвенными силами, а не субподрядчик? </t>
    </r>
    <r>
      <rPr>
        <sz val="11"/>
        <color rgb="FFFF0000"/>
        <rFont val="Calibri"/>
        <family val="2"/>
        <charset val="204"/>
        <scheme val="minor"/>
      </rPr>
      <t xml:space="preserve">КС-3 от 05.06.2025 принята на сумму 20 094 325,02 срок выполнения работ по 31.05.2025, невыполнение/ сроки нарушены </t>
    </r>
    <r>
      <rPr>
        <sz val="11"/>
        <rFont val="Calibri"/>
        <family val="2"/>
        <charset val="204"/>
        <scheme val="minor"/>
      </rPr>
      <t>Подрядчику был подписан фактический объем выполненных работ.Для ускорения работ часть была выполнена собственными силами.</t>
    </r>
  </si>
  <si>
    <t>Договор СИБЭРСИБЭМ-25/1260</t>
  </si>
  <si>
    <t xml:space="preserve">Карлов В.Ю. </t>
  </si>
  <si>
    <t xml:space="preserve">Кузнецов С.В. </t>
  </si>
  <si>
    <t>Пояснения куратора</t>
  </si>
  <si>
    <r>
      <t xml:space="preserve">Куда перераспределены работы на 13 млн? </t>
    </r>
    <r>
      <rPr>
        <sz val="11"/>
        <rFont val="Calibri"/>
        <family val="2"/>
        <charset val="204"/>
        <scheme val="minor"/>
      </rPr>
      <t>Почему?</t>
    </r>
    <r>
      <rPr>
        <sz val="11"/>
        <color rgb="FFFF0000"/>
        <rFont val="Calibri"/>
        <family val="2"/>
        <charset val="204"/>
        <scheme val="minor"/>
      </rPr>
      <t xml:space="preserve"> КС-3 от 20.02.2026 принята на сумму 60 851 608,8, срок выполнения работ с 01.07.2025 по 20.12.2025, невыполнение/ сроки нарушены</t>
    </r>
    <r>
      <rPr>
        <sz val="11"/>
        <rFont val="Calibri"/>
        <family val="2"/>
        <charset val="204"/>
        <scheme val="minor"/>
      </rPr>
      <t xml:space="preserve"> </t>
    </r>
  </si>
  <si>
    <r>
      <t>Почему работы переданы другому подрядчику? 
Аванс не отработан! Закрытие будет?</t>
    </r>
    <r>
      <rPr>
        <sz val="11"/>
        <color rgb="FFFF0000"/>
        <rFont val="Calibri"/>
        <family val="2"/>
        <charset val="204"/>
        <scheme val="minor"/>
      </rPr>
      <t xml:space="preserve">  КС-3 отсутствует, закрывающие документы отсутствуют, аванс не отработан, дебиторка</t>
    </r>
  </si>
  <si>
    <r>
      <t xml:space="preserve">Требуется претензия </t>
    </r>
    <r>
      <rPr>
        <sz val="11"/>
        <color rgb="FFFF0000"/>
        <rFont val="Calibri"/>
        <family val="2"/>
        <charset val="204"/>
        <scheme val="minor"/>
      </rPr>
      <t>КС-3 от 15.12.2025 принята на сумму 1 402 232,4, срок выполнения работ с 21.07.2025 до 15.10.2025, сроки нарушены, аванс не отработан, дебиторка</t>
    </r>
  </si>
  <si>
    <t>нарушение отсутствует</t>
  </si>
  <si>
    <r>
      <t xml:space="preserve">Требуется претензия </t>
    </r>
    <r>
      <rPr>
        <sz val="11"/>
        <color rgb="FFFF0000"/>
        <rFont val="Calibri"/>
        <family val="2"/>
        <charset val="204"/>
        <scheme val="minor"/>
      </rPr>
      <t>КС-3 отсутствует, закрывающие документы отсутствуют, требуется претензионная работа, аванс не отработан, дебиторка</t>
    </r>
  </si>
  <si>
    <r>
      <t xml:space="preserve">6 млн. не выполненных работ куда перераспределили? Почему? </t>
    </r>
    <r>
      <rPr>
        <sz val="11"/>
        <color rgb="FFFF0000"/>
        <rFont val="Calibri"/>
        <family val="2"/>
        <charset val="204"/>
        <scheme val="minor"/>
      </rPr>
      <t>Обротов по акту нет,срок выполнения до 25.10.2025</t>
    </r>
    <r>
      <rPr>
        <sz val="11"/>
        <color theme="1"/>
        <rFont val="Calibri"/>
        <family val="2"/>
        <charset val="204"/>
        <scheme val="minor"/>
      </rPr>
      <t xml:space="preserve">  </t>
    </r>
  </si>
  <si>
    <t xml:space="preserve">Договор не выполнен в полном объеме: не сдана ИД и не выполнены испытания системы. Поготовлен проект «Претензия о нарушении сроков выполнения работ 
и непредставлении исполнительной документации», в ЮУ пока информация не подтверждена
</t>
  </si>
  <si>
    <t>ПРОЕКТ не подписан ДС №1 к Договору  СИБЭРСИБЭМ-25/7074 снят с согласования</t>
  </si>
  <si>
    <r>
      <t xml:space="preserve">Требуется претензия </t>
    </r>
    <r>
      <rPr>
        <sz val="11"/>
        <color rgb="FFFF0000"/>
        <rFont val="Times New Roman"/>
        <family val="1"/>
        <charset val="204"/>
      </rPr>
      <t>КС-3 отсутствует, закрывающие документы отсутствуют, требуется претензионная работа,  аванс не отработан, дебиторка</t>
    </r>
  </si>
  <si>
    <r>
      <t xml:space="preserve">Где ДС на продление сроков? В договорном отделе информация отсуствует.  </t>
    </r>
    <r>
      <rPr>
        <sz val="11"/>
        <color rgb="FFFF0000"/>
        <rFont val="Calibri"/>
        <family val="2"/>
        <charset val="204"/>
        <scheme val="minor"/>
      </rPr>
      <t xml:space="preserve">Срок по 31.12.2025 КС-3 отсутствует, закрывающие документы отсутствуют,  аванс не отработан, дебиторка </t>
    </r>
  </si>
  <si>
    <r>
      <t xml:space="preserve">Требуется претензия, </t>
    </r>
    <r>
      <rPr>
        <sz val="11"/>
        <color rgb="FFFF0000"/>
        <rFont val="Calibri"/>
        <family val="2"/>
        <charset val="204"/>
        <scheme val="minor"/>
      </rPr>
      <t xml:space="preserve">КС-3 отсутствует, срок выполнения работ по 04.12.2025, невыполнение/ сроки нарушены,  аванс не отработан, дебиторка </t>
    </r>
  </si>
  <si>
    <r>
      <t xml:space="preserve">Срок в итоге нарушен или нет по их объемам?  </t>
    </r>
    <r>
      <rPr>
        <sz val="11"/>
        <color rgb="FFFF0000"/>
        <rFont val="Calibri"/>
        <family val="2"/>
        <charset val="204"/>
        <scheme val="minor"/>
      </rPr>
      <t xml:space="preserve">КС-3 от 18.12.2025 принята на сумму 2 112 730 срок выполнения работ по 20.02.2026, невыполнение/сроки нарушены,  аванс не отработан, дебиторка </t>
    </r>
  </si>
  <si>
    <r>
      <t xml:space="preserve">Что с возвратом аванса, если работы они не выполняли? Где претензия? </t>
    </r>
    <r>
      <rPr>
        <sz val="11"/>
        <color rgb="FFFF0000"/>
        <rFont val="Calibri"/>
        <family val="2"/>
        <charset val="204"/>
        <scheme val="minor"/>
      </rPr>
      <t>КС-3 отсутствует, срок выполнения работ по 20.02.2026, невыполнение/ сроки нарушены, аванс не отработан, дебиторка</t>
    </r>
  </si>
  <si>
    <t>расторжение</t>
  </si>
  <si>
    <t>позиция площадки, встречное неисполнение с нашей стороны, стройготовность отсутствует,претензионная работа не требуется</t>
  </si>
  <si>
    <t>с 04.03.2025 по 30.12.2025</t>
  </si>
  <si>
    <t>Работы выполнены в порученном объёме, идёт согласование дополнительных работ, неучтенных договором. В связи с этим не возможно закрыть выполненные работы подрядчику.
 Претензионная работа не требуется</t>
  </si>
  <si>
    <t>Срок завершения работ 28.02.2026. Решается вопрос о продлении. 
Претензионная работа не требуется</t>
  </si>
  <si>
    <t>Планируется расторжение договора по соглашению сторон</t>
  </si>
  <si>
    <t>КА выполнил не полный объём работ по договору. Не предоставил документы для закрытия на выполненный объём. Требуется претензионная работа.</t>
  </si>
  <si>
    <t>Действующий. Претензионная работа не требуется</t>
  </si>
  <si>
    <t>Срок завершения работ по Договору 19.11.2025. Последнее закрытие 16.03.2026г. Работы выполнены не в полном обьеме в связи с отсутствием персонала на площадке из за досрочного отъезда. Требуется претензионная работа</t>
  </si>
  <si>
    <t>Срок завершения работ по Договору 30.09.2025. Последнее закрытие 12.12.2025г. Работы выполнены с нарушением срока в связи с недостаточной мобилизацией. Требуется претензионная работа</t>
  </si>
  <si>
    <t>Срок завершения работ по Договору 30.12.2025. Последнее закрытие 29.12.2025г. Работы выполнены в срок, задержка с закрытием выполнения связана с заключением ДС-1. Претензионная работа не требуется.</t>
  </si>
  <si>
    <t>Срок завершения работ по Договору 31.12.2025. Последняя КС-3 от 06.03.2026. ДС на продление сроков на согласовании. Претензионная работа не требуется</t>
  </si>
  <si>
    <t>Срок завершения работ 30.01.2026. Последняя КС-3 от 02.03.2026. ДС на продление сроков. Претензионная работа не требуется.</t>
  </si>
  <si>
    <t>Срок завершения работ 15.02.2026. Нарушения со стороны Субподрядчика по срокам выполнения. Нарушения со стороны СибЭМ по обеспечению строительной готовности. Инициировано ДС на продление сроков. Претензионная работа не требуется</t>
  </si>
  <si>
    <t>Срок завершения работ по Договору 04.12.2025. Работы закрыты по фактически выполненным объемам. Давальческие материалы Подрядчиком сданы на склад. Необходимо проведение претензионной работы.</t>
  </si>
  <si>
    <t>Срок завершения работ по Договору 30.11.2025. Последняя КС-3 от 25.02.2026. Остановка работ КА, по причине монтажа и наладке оборудования . Нарушений со стороны КА нет. Закрытие при возобнавлении работ в тёплое время года. Незакрытые объёмы работ по причине того что часть работ выполнялось собственными силами АО "СибЭР". Претензионная работа не требуется</t>
  </si>
  <si>
    <t>Срок завершения работ по Договору 25.12.2025. Последняя КС-3 от 17.12.2025. Закрыто фактически отработанное время. Претензионная работа не требуется</t>
  </si>
  <si>
    <t>Срок завершения работ по Договору 30.09.2025. Последняя КС-3 от 29.09.2025. Работы выполнены. Договор исполнен. Замечаний к качеству и срокам выполнения нет. Невыполнение связано с выполнением части объемов работ собственными силами (УМКО). Претензионная работа не требуется</t>
  </si>
  <si>
    <t>Срок завершения работ по Договору 20.01.2026.  Последняя КС-3 от 16.03.2026. Основные объемы работ выполнены. Задержка выполнения работ из-за неготовности металлической части г/ходов (наличие замечаний). Кроме этого, часть работ выполнялась другой подрядной организацией. Претензионная работа не требуется</t>
  </si>
  <si>
    <t xml:space="preserve"> Срок завершения работ по договору - 31.12.2025. Последняя КС-3 от 20.02.2026. Работы закрыты по фактически выполненным объемам. Необходимо проведение претензионной работы, так как устранялись замечания по выполненным работам в 2026 году.</t>
  </si>
  <si>
    <t xml:space="preserve">Срок завершения работ по договору - 20.02.2026. Данный вид работ выполнялся  ООО "Декор" по договору  № СИБЭРСИБЭМ-25/6846. Требуется претензионная работа </t>
  </si>
  <si>
    <t xml:space="preserve"> Срок завершения работ по договору - 25.12.2025. Последняя КС-3 от 18.12.2025. Работа по чел/час. Объемы закрыты по фактически отработанному времени. Договор исполнен. Претензионная работа не требуется</t>
  </si>
  <si>
    <t>Срок завершения работ по договору 16.01.2026. Договор не выполнен в срок из за переноса пусковых операций на ТГ-3. Претензионная работа не требуется</t>
  </si>
  <si>
    <t>Срок завершения работ по договору 31.12.2025. Работы не выполнены. Материалы были сданы обратно на склад. Необходимо проведение претензионной работы.</t>
  </si>
  <si>
    <t>Срок выполнения работ 31.12.2025. Последняя КС-3 от 06.02.2026. Инициировано ДС на продление сроков (снят с ЦЗК для уточнения сроков). Претензионная работа не требуется.</t>
  </si>
  <si>
    <t>Срок выполнения работ 15.01.2026. Нет строительной готовности. Работы приостановлены в связи с отсутствием допуска от службы эксплуатации на время проведения пусковых операций на бл.3. Претензионная работа не требуется.</t>
  </si>
  <si>
    <t>Срок выполнения работ 28.02.2026. Последняя КС-3 от 05.03.2026. Изменения в рабочей документации PMG03R.07.025.KG01.TR01. Письмо от ООО МСК о заключение дополнительного соглашения к договору от 13.03.2026г. Вх-6.19.18-36513-26-0-0. Инициировано ДС на продление сроков. Претензионная работа не требуется.</t>
  </si>
  <si>
    <t>Срок выполнения работ 30.09.2025. Последняя КС-3 от 27.01.2025. Приостановка работ в связи с затоплением золой (по вине ПримГРЭС), претензионная работа не требуется. КА направил письмо на продление сроков. Претензионная работа не требуется</t>
  </si>
  <si>
    <r>
      <t xml:space="preserve">Срок выполнения работ 10.10.2025. Последняя КС-3 от 25.10.2025. Работы КА выполненны в необходимом объеме. Нарушений со стороны КА нет. </t>
    </r>
    <r>
      <rPr>
        <sz val="11"/>
        <color theme="1"/>
        <rFont val="Calibri"/>
        <family val="2"/>
        <charset val="204"/>
        <scheme val="minor"/>
      </rPr>
      <t>В данный момент КА подготавливается  ДС по дополнительным работам. Претензионная работа не требуется</t>
    </r>
  </si>
  <si>
    <t>Срок выполнения работ 10.09.2025. Последняя КС-3 от 25.10.2025. СМР выполнены в полном объёме. ИД сдана По информации КА направлен запрос на согласование доп соглашения по уменщению цены договора. Разница в цене договора по причине разницы в массах м/к в КМ и КМД. Договора заключается по КМ. Претензионная работа не требуется.</t>
  </si>
  <si>
    <t>Срок выполнения работ: основной объем - 23.06.25, доп. объем - 27.02.2026. Последняя КС-3 от 24.02.2026.   Работы выполнены в необходимом объеме и закрыты. Нарушение сроков по отсутствию стройготовности. 
Претензионная работа не требуется</t>
  </si>
  <si>
    <t>Срок выполнения работ 30.04.2025. Последняя КС-3 от 24.02.2026. работы выполнены в полном объеме и закрыты. Нарушение сроков по отсутствию стройготовности. Претензионная работа не требуется.</t>
  </si>
  <si>
    <t>Срок выполнения работ 31.07.2025. Последняя КС-3 от 25.09.2025. СМР выполнены в полном объёме. ИД сдана. Договор исполнен. Претензионная работа не требуется</t>
  </si>
  <si>
    <t>Срок выполнения работ 01.07.2025. Последняя КС-3 от 14.10.2025. Работы выполнены в полном объеме, за исключением установки зимника. Зимник принят на склад ДПМ от подрядчика. Данные работы не выполнялись по причине отсутсвия строительной готовности. Претензионная работа не требуется</t>
  </si>
  <si>
    <t>Срок выполнения работ 06.09.2025. Посленяя КС-3 от 24.09.2025. Работы КА выполненны в необходимом объеме. Нарушений со стороны КА нет. В данный момент КА подготавливается  ДС по дополнительным работам. Претензионная работа не требуется</t>
  </si>
  <si>
    <r>
      <t xml:space="preserve">Срок выполнения работ 30.10.2025. Посленяя КС-3 от 25.02.2026. Основные объемы работ выполнены, выполняется устранение выявленных замечаний. </t>
    </r>
    <r>
      <rPr>
        <sz val="11"/>
        <rFont val="Calibri"/>
        <family val="2"/>
        <charset val="204"/>
        <scheme val="minor"/>
      </rPr>
      <t>Энергоблок ст. № 3 в работе. Работы выполняются, задержка в связи с отсутствием стройготовности. Претензионная работа не требуется</t>
    </r>
  </si>
  <si>
    <t>Срок выполнения работ 30.09.2025. Данная организация работы на к/а ст. № 3 А,Б  не выполняла. Работы не выполняются в связи с отсутствием оборудования поставки Заказчика (Приморской ГРЭС). Претензионная работа не требуется</t>
  </si>
  <si>
    <t>Срок выполнения работ 20.09.2025. Посленяя КС-3 от 28.11.2025. В связи с реорганизацией данное предприятие прекратило свою деятельность на объектах АО Прим ГРЭС. Требуется претензионная работа</t>
  </si>
  <si>
    <t>Направлено письмо №Исх-6.19.18-24165/26-0-0 от 13.03.2026 "О преостановлении работ по договорам и заключении Д/с о продлении сроков". Причин нарушения выполнения работ со стороны Подрядчика нет. Претензионная работа не требуется</t>
  </si>
  <si>
    <t xml:space="preserve">Срок выполнения работ 30.09.2025. Посленяя КС-3 от 19.02.2026. Требуется СЗ на инициацию претензионной работы по возврату аванса и расторжению договора </t>
  </si>
  <si>
    <t>к расторжению</t>
  </si>
  <si>
    <t>Срок завершения работ по договору - 5 к.д. момента предоставления стройготовности.Энергоблок в модернизацию не передан. Претензионная работа не требуется</t>
  </si>
  <si>
    <t>Срок выполнения работ 30.12.2025. Посленяя КС-3 от 25.02.2026. Работы выполнены подрядчиком частично. Оставшиеся работы выполнены другими подрядными организациями, в связи с отсутствием строительной готовности. Претензионная работа не требуется.</t>
  </si>
  <si>
    <t>Позиция площадки: договор исполнен  в необходимом объеме, претензионная работа не требуется</t>
  </si>
  <si>
    <t>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</si>
  <si>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5,6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</si>
  <si>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0,9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</si>
  <si>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0,4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</si>
  <si>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15,4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</si>
  <si>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23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</si>
  <si>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6,2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</si>
  <si>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Невыполнение 4.3 млн. Позиция площадки договор исполнен в необходимом объеме, просрочка в связи с встречным неисполнением с нашей стороны (отсутсвовала стройготовность).  Претензионная работа не требуется.</t>
  </si>
  <si>
    <t>Нарушение отсутствует</t>
  </si>
  <si>
    <t>Невыполнение 565 млн. Позиция площадки: претензионная работа не требуется, будет инициировано ДС на продление сроков.</t>
  </si>
  <si>
    <t>Невыполнение 29,8 млн. Позиция площадки  претензионная работа не требуется, будет инициировано ДС на продление сроков</t>
  </si>
  <si>
    <t>Невыполнение 283 млн. Позиция площадки  претензионная работа не требуется, будет инициировано ДС на продление сроков</t>
  </si>
  <si>
    <t>Невыполнение 276 млн. Позиция площадки: претензионная работа не требуется, будет инициировано ДС на продление сроков</t>
  </si>
  <si>
    <t>Невыполнение 1,3 млн. Позиция площадки: претензионная работа не требуется, будет инициировано ДС на продление сроков.</t>
  </si>
  <si>
    <t>Невыполнение 10,2 млн. Позиция площадки: претензионная работа не требуется, будет инициировано ДС на продление сроков.</t>
  </si>
  <si>
    <t>Невыполнение 6.9 млн.
Позиция площадки: есть встречное неисполнение с нашей стороны, претензионная работа не требуется, будет инициировано ДС на продление сроков.</t>
  </si>
  <si>
    <t>Позиция площадки: есть встречное неисполнение с нашей стороны, претензионная работа не требуется, будет инициировано ДС на продление сроков.</t>
  </si>
  <si>
    <t>Текущий статус</t>
  </si>
  <si>
    <t>Срок завершения работ по Договору 30.12.2025. Последняя КС-3 от 26.01.2026 принята на сумму 71 236 646 руб. Остаток цены договора 1 557 552,28 руб. в связи с корректировкой объемов т.к. ремонтные работы.Договор исполнен  в необходимом объеме. Претензионная работа не требуется.</t>
  </si>
  <si>
    <t>Срок завершения работ по Договору 28.11.2025. Работы выполнены в необходимом объеме. Последнее закрытие 25.12.25г. Увеличение трудозатрат за счет изменения сметного объема по ремонту ресиверов ТГ-3. Остаток по договору 11 482 994 руб. - не подтвержденные компенсируемые затраты, заложенные в смете, за счет уменьщения перевахтовок персонала. Претензионная работа не требуется</t>
  </si>
  <si>
    <t>Срок выполнения работ 18.12.2025. Последняя КС-3 от 12.12.2025.Договор исполнен в необходимом объеме. Остаток цены договора 26 240 973 руб.  Претензионная работа не требуется.</t>
  </si>
  <si>
    <t>Срок завершения работ по Договору 01.11.2025. Последняя КС-3 от 25.02.2026. Работы не завершены по причине частичного отсутствия стройготовности не по вине КА. Остаток цены договора 42 411 530 руб.
От контрагента получено письмо о продлении банковской гарантии.
Подготавливается доп. соглашение о продлении сроков договора. Претензионная работа не требуется</t>
  </si>
  <si>
    <r>
      <t xml:space="preserve">Срок завершения работ 30.01.2026. Последняя КС-3 от 06.02.2026.  Данная организация работы на к/а ст. № 3 А,Б  выполняла не полном объеме договора. Часть объемов работ передана иным исполнителям. </t>
    </r>
    <r>
      <rPr>
        <sz val="12"/>
        <rFont val="Calibri"/>
        <family val="2"/>
        <charset val="204"/>
        <scheme val="minor"/>
      </rPr>
      <t>Решение о распределении объемов работ между исполнителями принималось вышестоящим руководством. Остаток цены договора 134 668 401 руб.
договор исполнен  в необходимом  объеме, претензионная работа не требуется.</t>
    </r>
  </si>
  <si>
    <t>Срок завершения работ 31.12.2025. Последняя КС-3 от 02.03.2026. Нарушения со стороны Субподрядчика по срокам выполнения. Нарушения со стороны СибЭМ по обеспечению строительной готовности. Остаток цены договора 3 798 182 руб.</t>
  </si>
  <si>
    <t>Срок завершения работ по Договору 30.01.2025. Последняя КС-3 от 18.11.2025. Объемы закрывались в порученном объеме.  Остаток цены договора 1 707 134 руб. 
Претензионная работа не требуется</t>
  </si>
  <si>
    <t>Срок завершения работ по Договору 31.12.2025. Последняя КС-3 от 28.10.2025. Объемы закрывались в порученном объеме.  Остаток цены договора 29 210 923 руб. Претензионная работа не требуется</t>
  </si>
  <si>
    <t>Срок завершения работ по Договору 08.09.2025. Работы выполнены в срок, КА долго готовил документы для закрытия. Остаток цены договора 1 626 000 руб. Претензионная работа не требуется.</t>
  </si>
  <si>
    <t>Срок завершения работ по Договору 31.12.2025. Последняя КС-3 от 02.03.2026. Объемы закрывались в порученном объеме. Остаток цены договора 129 100 772 руб. Претензионная работа не требуется</t>
  </si>
  <si>
    <t>Срок завершения работ по Договору 31.12.2025. Последняя КС-3 от 30.10.2025. Объемы закрывались в порученном объеме. Остаток цены договора 14  295 445 руб. Претензионная работа не требуется</t>
  </si>
  <si>
    <t>Срок выполнения работ 21.11.2025. Последняя КС-3 от 18.12.2025. Договор исполнен в необходимом объеме. Остаток цены договора 8 734 385 руб.  Претензионная работа не требуется.</t>
  </si>
  <si>
    <t>Срок завершения работ по Договору 19.12.2025.  Последняя КС-3 от 19.12.2025. Объемы закрывались в порученном объеме. Остаток цены договора 11 106 914 руб. Претензионная работа не требуется</t>
  </si>
  <si>
    <t>Срок завершения работ по Договору 30.10.2025.  Последняя КС-3 от 25.12.2025. Объемы закрывались в порученном объеме  по чел.-часам. Остаток цены договора 4 297 110 руб.  
Претензионная работа не требуется</t>
  </si>
  <si>
    <t>Срок завершения работ по договору - 20.02.2026. Последняя КС-3 от 18.12.2025. На ТИЗ по котлу 6 зашло 4 подрядчика. Объемы поделены по каждому подрядчику. Декор выполнил объемы согласно разганичению. Остаток цены договора 86 238 685 руб. Необходимо закрыть договор. Претензионная работа не требуется</t>
  </si>
  <si>
    <t>Срок выполнения работ 25.12.2025. Последняя КС-3 от 06.02.2026. Договор исполнен в необходимом объеме. Остаток цены договора 1 240 520 руб.  Претензионная работа не требуется.</t>
  </si>
  <si>
    <t>Срок выполнения работ 27.02.2026. Последняя КС-3 от 06.02.2026. На ТИЗ по котлу 6 зашло 4 подрядчика. Объемы поделены по каждому подрядчику. Профрезерв выполнил свои объемы. Остаток цены договора 30 251 393 руб. Договор необходимо закрыть. Претензионная работа не требуется.</t>
  </si>
  <si>
    <t>Срок выполнения работ 31.12.2025. Последняя КС-3 от 25.12.2025. Работы выполнены. Договор исполнен. Замечаний к качеству и срокам выполнения нет. Остаток цены договора 1 485 739 руб. Претензионная работа не требуется.</t>
  </si>
  <si>
    <r>
      <t>Срок выполнения работ 12.01.2026. Последняя КС-3 от 22.12.2025. Данная организация работы на к/а ст. № 3 А  выполняла не полном объеме (часть работ перераспределена другим подрдяикам). Договор исполнен. Замечаний к качеству и срокам выполнения нет. Остаток цены договора 2 374 948 руб.</t>
    </r>
    <r>
      <rPr>
        <sz val="12"/>
        <rFont val="Calibri"/>
        <family val="2"/>
        <charset val="204"/>
        <scheme val="minor"/>
      </rPr>
      <t xml:space="preserve"> Претензионная работа не требуется.</t>
    </r>
  </si>
  <si>
    <t>Срок выполнения работ 27.12.2025. Последняя КС-3 от 20.01.2026.
 Работы выполнены согласно срокам по договору. Закрытие произведено по фактически выполненным объемам по чел/час. Остаток цены договора 1 314 695 руб. Претензионная работа не требуется.</t>
  </si>
  <si>
    <t>Срок выполнения работ 15.02.2026. Последняя КС-3 от 26.12.2025. Данная организация работы на к/а ст. № 3 А,Б  выполняла не полном объеме. Договор исполнен в необходимом объеме. Остаток цены договора  4 269 719 руб.
Претензионная работа не требуется</t>
  </si>
  <si>
    <t>Срок выполнения работ 15.01.2026. Последняя КС-3 от 25.12.2025. Договор исполнен в необходимом объеме. Невыполнение связано с выполнением части объемов работ собственными силами (ТМУ). Остаток цены договора 3 341 218 руб. 
Претензионная работа не требуется</t>
  </si>
  <si>
    <t>Срок выполнения работ 25.12.2025. Последняя КС-3 от 09.02.2026. Работы выполнены согласно срокам по договору. Закрытие произведено по фактически выполненным объемам. Остаток цены договора 1 147 758 руб.
Претензионная работа не требуется.</t>
  </si>
  <si>
    <t>Срок выполнения работ 31.05.2025. Последняя КС-3 от 05.06.2025. Договор исполнен. Невыполнение связано с выполнением части объемов работ собственными силами (ТМУ) для ускорения производства работ. Остаток цены договора 2 880 249 руб.
Претензионная работа не требуется</t>
  </si>
  <si>
    <t>Срок выполнения работ 03.08.2025. Последняя КС-3 от 25.12.2025.
Срок выполнения работ нарушен в связи с отсутсвием строительной готовности. Остаток цены договора 904 461 руб. 
Претензионная работа не требуется</t>
  </si>
  <si>
    <t>Срок выполнения работ 29.04.2025. Последняя КС-3 от 23.06.2025. Остаток цены договора1 968 865 руб. Работы выполнены и закрыты по факту. Остаток сложился в связи с тем, что монтаж лесов осуществляли собственными силами.  Претензионная работа не требуется</t>
  </si>
  <si>
    <t>Срок выполнения работ 15.03.2025. Последняя КС-3 от 30.03.2025. Договор исполнен  в необходимом объеме.  Остаток цены договора 236 525 руб. Претензионная работа не требуется</t>
  </si>
  <si>
    <t>Срок выполнения работ 31.07.2025. Последняя КС-3 от 12.08.2025. СМР выполнены в полном объёме. ИД на стадии проверки и устранения замечаний. Остаток цены договора 3 525 652 руб.  Разница в цене договора по причине разницы в массах м/к в КМ и КМД. Договора заключается по КМ. Претензионная работа не требуется</t>
  </si>
  <si>
    <t>Срок выполнения работ 01.03.2025. Поледняя КС-3 от 19.09.2025. Договор исполнен  в необходимом объеме.  Остаток цены договора 1 112 441 руб.
Претензионная работа не требуется</t>
  </si>
  <si>
    <t>Срок выполнения работ 30.10.2025. Посленяя КС-3 от 25.02.2026. Работы выполнены в необходимом объеме.  Остаток цены договора 2 048 221 руб. Претензионная работа не требуется</t>
  </si>
  <si>
    <t>Срок выполнения работ 31.08.2025. Посленяя КС-3 от 01.12.2025. Работы выполнены с задержкой срока,  в связи с отсутствием стройготовности. Работы выполненны в порученном объеме.  Остаток цены договора 1 061 684 руб. Претензионная работа не требуется</t>
  </si>
  <si>
    <t>Требуется претензионная работа. Необходимо инициировать СЗ на претензионную работу</t>
  </si>
  <si>
    <t>Направлена претензия за не предоставление СМГ. Требуется претензионная работа за несоблюдение конечных сроков</t>
  </si>
  <si>
    <t>Работы выполняются, задержка сроков в связи со строительной готовностью, претензионная работа не требуется</t>
  </si>
  <si>
    <t>Загружена на согласование в СЭД СЗ на инициацию ДС по включению дополнительных работ. Задержка сроков в связи со стройготовностью, претензионная работа не требуется.</t>
  </si>
  <si>
    <t>Срок завершения работ по Договору 20.12.2025г. Последнее закрытие 20.02.2026  Работы выполнены в необходимом объёме. Остаток цены договора 13 219 058 руб. Задержка сроков из за отсутствия строй готовности. Претензионная работа не требуется</t>
  </si>
  <si>
    <t>Невыполнение 13.2 млн. от цены договора. Позиция площадки договор исполнен в необходимом объеме, просрочка в связи с встречным неисполнением с нашей стороны (отсутствовала стройготовность).  Претензионная работа не требуется.</t>
  </si>
  <si>
    <t>Направлена претензия за не предоставление СМГ, куратор обращался в ЮС по инициации претензионной работы за несоблюдение конечного срока выполнения работ</t>
  </si>
  <si>
    <t>Срок завершения работ по Договору 15.10.2025. Последнее закрытие 15.12.2025г. Объемы выполнены частично, КА отсутствует на площадке, претензия направлена за не предоставление СМГ. Требуется претензионная работа за нарушение сроков</t>
  </si>
  <si>
    <t xml:space="preserve">Работы выполнены подрядчиком частично. Оставшиеся работы выполнены другими подрядными организациями. В связи с несвоевременной стройготовностью.  Деф ведомости и акты выполненных работ находятся на подписи у заказчика. Работы передавались другому подрядчику т.к их необходимо выполнить в ограниченные сроки а подрядчик не имел на тот момент достаточной мобилизации. Были подписаны ведомости объемов работ с заменой материалов заказчика на материалы подрядчика. В данный момент находятся в сметном отделе обещают отдать на следующей неделе. Ориентировочная сумма выполнения 5100000руб. </t>
  </si>
  <si>
    <t>Позиция площадки договор исполнен в необходимом объеме, просрочка в связи с встречным неисполнением с нашей стороны (отсутствовала стройготовность).  Претензионная работа не требуется.
Необходимо взять на контроль пока не будет закрыт авансовый платеж. Предварительно сумма выполнение не перекрывает аванс.</t>
  </si>
  <si>
    <t xml:space="preserve">Работы выполнены. КА подал документы на заключение ДС по увеличению количества чел.-часов, в соответствии с фактически подтвержденными табелями. СЗ на инициацию ДС загружено на согласование в СЭД </t>
  </si>
  <si>
    <t xml:space="preserve">Работы выполняются, вынесен на ЦЗК вопрос об оплате работ по ЭПБ в чел.-часах, КА ждёт решения вопроса для закрытия выполнения. Направлена претензия за не предоставление графиков СМГ. </t>
  </si>
  <si>
    <t xml:space="preserve">
Срок завершения работ по Договору 30.01.2026. Последняя КС-3 от 20.02.2026. Остаток цены договора 17 157 127,97 руб. в связи с корректировкой объемов т.к. ремонтные работы. Договор исполнен. Претензионная работа не требуется.</t>
  </si>
  <si>
    <t>Общество с ограниченной ответственностью "СМЦ"</t>
  </si>
  <si>
    <t xml:space="preserve">Срок завершения работ по Договору 12.11.2025. Последняя КС-3 от 12.01.2026. Остаток цены договора 12 503 802 руб. в связи с корректировкой объемов т.к. ремонтные работы. Договор исполнен. Претензионная работа не требуется.
+L48:R48Вынесено на ЦЗК 18.03.26 г. ДС к факту. </t>
  </si>
  <si>
    <t xml:space="preserve">Срок завершения работ по Договору 12.11.2025. Последняя КС-3 от 12.01.2026. Остаток цены договора 12 503 802 руб. в связи с корректировкой объемов т.к. ремонтные работы. Договор исполнен. Претензионная работа не требуется.
Вынесено на ЦЗК 18.03.26 г. ДС к факту. </t>
  </si>
  <si>
    <r>
      <t xml:space="preserve">Где выполнение по Договору? Ни одна КС не подписана! Аванс не закрыт. Когда будут закрыты выполненные работы, если они выполнены? Когда будет ДС? </t>
    </r>
    <r>
      <rPr>
        <sz val="11"/>
        <color rgb="FFFF0000"/>
        <rFont val="Calibri"/>
        <family val="2"/>
        <charset val="204"/>
        <scheme val="minor"/>
      </rPr>
      <t xml:space="preserve"> КС-3 отсутствует, закрывающие документы отсутствуют, требуется претензионная работа, ПРОЕКТ ДС НЕ ПОДПИСАН,  аванс не отработан, дебиторка. </t>
    </r>
    <r>
      <rPr>
        <sz val="11"/>
        <rFont val="Calibri"/>
        <family val="2"/>
        <charset val="204"/>
        <scheme val="minor"/>
      </rPr>
      <t xml:space="preserve">На момент прибытия подрядчика на площадку объёмы его работ были перераспределены. Подрядчик выполнял работы по тепловой изоляции не учтенные договорам. На данный момент эти объёмы работ подписаны и находятся на осмечивании </t>
    </r>
  </si>
  <si>
    <t>Корректировка объемов (исключение работ по договору+включение доп. объемов), формулировка по НДС, срок по 30.12.2025</t>
  </si>
  <si>
    <t>Работы выполняются. Инициировано ДС на продление сроков по 01.10.26. Претензионная работа пока не требуется.</t>
  </si>
  <si>
    <r>
      <t xml:space="preserve">Где находиться ДС на продление? В договорном отсутствует.  </t>
    </r>
    <r>
      <rPr>
        <sz val="11"/>
        <color rgb="FFFF0000"/>
        <rFont val="Times New Roman"/>
        <family val="1"/>
        <charset val="204"/>
      </rPr>
      <t>КС-3 от 06.03.2026 принята на сумму 231 560 509,42, срок выполнения работ по 31.12.2025, невыполнение/ сроки нарушены</t>
    </r>
  </si>
  <si>
    <t>подписано ДС № 2 об увеличении стоимости договора</t>
  </si>
  <si>
    <t>Работы выполняются. Инициировано ДС на продление сроков по 01.10.26. Претензионная работа не требуется.</t>
  </si>
  <si>
    <r>
      <t xml:space="preserve">Где находиться ДС на продление? В договорном отсутствует. </t>
    </r>
    <r>
      <rPr>
        <sz val="11"/>
        <color rgb="FFFF0000"/>
        <rFont val="Times New Roman"/>
        <family val="1"/>
        <charset val="204"/>
      </rPr>
      <t>КС-3 от 06.03.2026 принята на сумму 455 473 870,74, срок выполнения работ по 31.12.2025, невыполнение/ сроки нарушены</t>
    </r>
  </si>
  <si>
    <t>Срок выполнения работ  01.11.2025, работы выполнены в полном объеме, последняя КС-3 от 16.12.2025. Продление сроков выполнения работ в связи доп. объемами . Претензионная работа не требуется</t>
  </si>
  <si>
    <t xml:space="preserve">с момента подписания уполномоченными лицами представителями сторон Акту приёма-передачи строительной площадки (Приложение № 3); 
окончание строительно-монтажных работ: не позднее 150 календарных дней с момента подписания Акту приёма-передачи строительной площадки для выполнения строительно-монтажных работ, подписанному уполномоченными представителями сторон по форме Приложения № 3 к Договору; 
Сопровождение пусконаладочных работ 30 календарных дней после выполнения строительно-монтажных работ
</t>
  </si>
  <si>
    <t>Выполнение строительно-монтажных и пуско-наладочных работ систем противопожарной защиты, систем связи, систем охранной сигнализации помещениях энергоблока № 3, энергоблока №6 и здания Центральной насосной станции Приморской ГРЭС</t>
  </si>
  <si>
    <t>аванс 10% в течение 5 р.. с момента предоставления БГ и счета на оплату</t>
  </si>
  <si>
    <t>с момента предоставления строительной готовности: энергоблок № 3- 180 календарных дней с момента предоставления строительной готовности;энергоблок № 6- 180 календарных дней с момента предоставления строительной готовности;здание Центральной насосной станции- не более 90 календарных дней с момента предоставления строительной готовности</t>
  </si>
  <si>
    <r>
      <t xml:space="preserve">Где ДС на продление сроков? В договорном отделе информация отсутствует. </t>
    </r>
    <r>
      <rPr>
        <sz val="11"/>
        <color rgb="FFFF0000"/>
        <rFont val="Calibri"/>
        <family val="2"/>
        <charset val="204"/>
        <scheme val="minor"/>
      </rPr>
      <t>КС-3 от 25.02.2026 принята на сумму 26 334 770,84 срок выполнения работ по 01.11.2025, невыполнение/ сроки нарушены</t>
    </r>
  </si>
  <si>
    <t>Невыполнение 42,4 млн.  претензионная работа не требуется, продление сроков
Позиция площадки: есть встречное неисполнение с нашей стороны (отсутствовала стройготовность), претензионная работа не требуется, будет инициировано ДС на продление сроков.</t>
  </si>
  <si>
    <t xml:space="preserve">Работы выполняются. Загружено на согласование в СЭД СЗ на инициацию ДС на продлении сроков до  28.02.26. </t>
  </si>
  <si>
    <t>с даты предост строит готовности, под Акта передч строит площади. - не позднее 30.12.2025</t>
  </si>
  <si>
    <t>Поступило письмо КА о продлении до 01.06.26, в связи с отсутствием стройготовности. СЗ будет инициирована до 16.03.26</t>
  </si>
  <si>
    <t xml:space="preserve">Ждем письма с ТР об изменение трассировки охлаждающего трубопровода с- мы конд-я, а также о продлении срока договора. Подготовлен проект служебной записки об инициации претензии (просрочка выполнения работ)
 и бездействии при изменении 
технической документации». Поступило письмо КА о продлении сроков до 01.06.26, в связи с отсутствием стройготовности, необходимо продление сроков 
</t>
  </si>
  <si>
    <t>Позиция площадки договор исполнен в необходимом объеме, просрочка в связи с встречным неисполнением с нашей стороны (отсутствовала стройготовность).  Претензионная работа не требуется.</t>
  </si>
  <si>
    <t>Работы выполняются, претензионная работа пока нет требуется</t>
  </si>
  <si>
    <t>Работы выполняются, после завершения планируется инициация претензионной работы за нарушение конечного срока.</t>
  </si>
  <si>
    <t>Работы выполняются. Частичное отсутствие стройготовности (площадки под лафеты, отсутствие лесов на отм. Выше 70,000 м)</t>
  </si>
  <si>
    <t>Работы не завершены. На письмо КА о продлении направлен запрос графика завершения работ. В случае непредоставления инициация претензионной работы</t>
  </si>
  <si>
    <t>Невыполнение 3,7 млн.  Позиция площадки договор исполнен в необходимом объеме, просрочка в связи с встречным неисполнением с нашей стороны (отсутствовала стройготовность).  Претензионная работа не требуется.</t>
  </si>
  <si>
    <r>
      <t xml:space="preserve">Где ДС на продление сроков? В договорном отделе информация отсутствует. </t>
    </r>
    <r>
      <rPr>
        <sz val="11"/>
        <color rgb="FFFF0000"/>
        <rFont val="Calibri"/>
        <family val="2"/>
        <charset val="204"/>
        <scheme val="minor"/>
      </rPr>
      <t>КС-3 от 05.03.2026 принята на сумму 82 481 951,41 срок выполнения работ по 30.01.2026, невыполнение/ сроки нарушены</t>
    </r>
  </si>
  <si>
    <t>Работы по котлу 3Б завершены, выполняются работы по котлу 3А, претензионная работа не требуется</t>
  </si>
  <si>
    <t>Работы не выполняются. Готовится письмо на КА о предоставлении графика выполнения работ с учётом соблюдения сроков окончания работ. В случае непредоставления графика, будет претензионная работа по непредосталвлению графиков.</t>
  </si>
  <si>
    <r>
      <t>Где ДС на продление сроков? В договорном отделе информация отсутствует.</t>
    </r>
    <r>
      <rPr>
        <sz val="11"/>
        <color rgb="FFFF0000"/>
        <rFont val="Calibri"/>
        <family val="2"/>
        <charset val="204"/>
        <scheme val="minor"/>
      </rPr>
      <t xml:space="preserve"> Срок по по 15.02.2026 КС-3 отсутствует, закрывающие документы отсутствуют,  аванс не отработан, дебиторка </t>
    </r>
  </si>
  <si>
    <t>Невыполнение 45,6 млн. Позиция площадки:есть встречное неисполнение с нашей стороны (отсутствовала стройготовность), претензионная работа не требуется, будет инициировано ДС на продление сроков</t>
  </si>
  <si>
    <r>
      <t xml:space="preserve">Почему работы выполнены с нарушением срока? </t>
    </r>
    <r>
      <rPr>
        <sz val="11"/>
        <color rgb="FFFF0000"/>
        <rFont val="Calibri"/>
        <family val="2"/>
        <charset val="204"/>
        <scheme val="minor"/>
      </rPr>
      <t>КС-3 отсутствует, срок выполнения работ по 08.09.2025, невыполнение/ сроки нарушены</t>
    </r>
  </si>
  <si>
    <t>в течение 45 календарных дней со дня окончания выполнения работ и подписания Подрядчиком документов</t>
  </si>
  <si>
    <t>в течение 45 календарных дней со дня окончания выполнения работ и подписания Подрядчиком документов, срок окончания работ не позднее 20.12.2025 г.</t>
  </si>
  <si>
    <t>Сроки нарушены по вине СибЭМ. КА подал документы на закрытие выполнения. Претензионная работа не требуется.</t>
  </si>
  <si>
    <t>Невыполнение 4,4 млн. Позиция площадки договор исполнен в необходимом объеме, просрочка в связи с встречным неисполнением с нашей стороны (отсутствовала стройготовность).  Претензионная работа не требуется.</t>
  </si>
  <si>
    <t>30 % в течение 3 р.д. с момента подписания договора</t>
  </si>
  <si>
    <t>КА предоставил на проверку комплект ИД. Закрытие выполнения после подписания ИД.</t>
  </si>
  <si>
    <t>Невыполнение 82 млн. Позиция площадки договор исполнен в необходимом объеме, просрочка в связи с встречным неисполнением с нашей стороны (отсутствовала стройготовность).  Претензионная работа не требуется.</t>
  </si>
  <si>
    <t xml:space="preserve">Ответ КА № 26 от 19.02.2026 «Об исключении работ, не подлежащих выполнению и продлении срока завершения работ». </t>
  </si>
  <si>
    <t>Предварительное судебное заседание назначено на 30.04.2026</t>
  </si>
  <si>
    <t>Претензия 6.19.13-133349 от 11.12.2025 штраф+возмещение ущерба на сумму 148 000,00 (за смарт часы)</t>
  </si>
  <si>
    <t>СЗ о проведении судебной работы в ЮС не поступала. Ответ куратора: Зачета не было, будет выполнение.</t>
  </si>
  <si>
    <t>куратор по договору предоставил проект ответа КА от 26.03.2026, об исключении работ и продлению срока договора из-за отсутствия сройготовности с нашей стороны, проект ответа находится на рассмотрении  в ЮУ, после подписания письма необходимо договор перенести в действующие договоры, с учетом ДС</t>
  </si>
  <si>
    <t>Результат судебной работы</t>
  </si>
  <si>
    <t>Примечание</t>
  </si>
  <si>
    <t>Информация о судебной работе (дата, предмет, сумма)</t>
  </si>
  <si>
    <t>Определением 3ААС АЖ принята к производству, СЗ отложено на 23.04.2026</t>
  </si>
  <si>
    <t>Претензия 6.19.13-38104 от 10.04.2025 возврат аванса, пеня за нарушение сроков возврата аванса, пеня за нарушение сроков выполнения работ на сумму 46362691,55</t>
  </si>
  <si>
    <t xml:space="preserve"> 23.09.2025 от ООО «АПЕКС ГРУПП» поступило встречное исковое заявление о взыскании с  АО "СибЭР" необоснованно зачтенной из стоимости выполненных работ
суммы в размере 2 158 363,10 руб. Решением от 11.12.2025 встречный иск удовлетворен.
Взыскать с АО "СиБЭР" в пользу ООО «АПЕКС
ГРУПП» задолженность в размере
2 158 363, 10 руб., судебные расходы по оплате государственной пошлины в размере
89 751 руб. </t>
  </si>
  <si>
    <t xml:space="preserve"> Претензия 6.19.13-63630 от 19.06.2025 возмещение стоимости строительных лесов, проценты на сумму 11 246 376,97</t>
  </si>
  <si>
    <t>Договор не выполнен в полном объеме. В адрес КА направлено письмо № Исх.-6.19.18-96731/25-0-0 от 18.09.25 г. "о неисполнении обязательств по соблюдению конечных сроков работ". СМР завершены, поданы документы для закрытия выполнения. После окончания ПНР будет инициирована претензионная работа за нарушение сроков.</t>
  </si>
  <si>
    <t xml:space="preserve">Актами приема-передачи  
от 27.06.2025 (3701,1 кг), от 28.07.2025 (1802,6 кг), от 01.08.2025 (923,3 кг) частично возвращено имущество на сумму  5135694,68 руб. (55 % ) весом 6 427 кг., направлены уточнения к претензия №6.19.13-91975 от 05.09.2025 </t>
  </si>
  <si>
    <t xml:space="preserve">
Претензия  6.19.13-7400 от 29.01.2026 о возврате аванса и штрафной неустойки, на сумму 7 100 000</t>
  </si>
  <si>
    <t xml:space="preserve">      Дело А33-13916/2025 от    26.05.2025 о взыскании неустойки по договору
№ СИБЭРСИБЭМ-24/4717 от 25.10.2024 в размере 3 475 159,40 руб.</t>
  </si>
  <si>
    <t>Предварительное судебное заседание назначено на 14.05.2026</t>
  </si>
  <si>
    <t xml:space="preserve">Претензия № 6.19.13-128487 от 02.12.2025 о  возврате аванса, неустойка, отказ от договора на сумму 6 150 000,00 </t>
  </si>
  <si>
    <t xml:space="preserve">Дело № А33-6895/2026 от 18.03.2026
о возврате штрафа за нарушение сроков предоставления суточно-месячного графика в
соответствии с п. 4.6.11.5 договора в размере 171 150,04 руб.,
- перечисленного аванса в размере 5 000 000 руб.,
- штрафной неустойки по п. 6.2 договора за период с 08.08.2025 по 30.11.2025 в
размере 1 150 000 руб.,
- пени за просрочку конечного срока исполнения обязательств в соответствии с п. 6.4
договора в размере 5 220 076,32 руб. </t>
  </si>
  <si>
    <t>Определением от 16.03.2026  оставлено исковое заявление без движения</t>
  </si>
  <si>
    <t xml:space="preserve">Дело А33-8199/2026 от 25.03.2026 о возврате аванса и штрафной неустойки, на сумму 7 100 000. </t>
  </si>
  <si>
    <t xml:space="preserve"> Ответ от КА не поступал</t>
  </si>
  <si>
    <t>Дело А33-2422/2026 от 03.02.2026 за нарушение сроков предоставления суточно – месячного графика в размере 24 943, 67 рублей; пени за просрочку конечного срока исполнения обязательств по договору №СИБЭРСИБЭМ-25/3835 от 30.07.2025 в размере 511 345, 17 рублей</t>
  </si>
  <si>
    <t>Дата предварительного судебного заседания не назначена</t>
  </si>
  <si>
    <t xml:space="preserve">Дело А33-2424/2026 от  02.02.2026 о взыскании 85 929, 79 руб.
штрафа за нарушение сроков предоставления суточно-месячного графика по договору
№СИБЭРСИБЭИ-25/4480 от 30.07.2025, 1 761 560, 53 руб. пени за просрочку конечного
срока исполнения обязательств         </t>
  </si>
  <si>
    <t>Предварительное судебное заседание назначено на 30.03.2026</t>
  </si>
  <si>
    <t>СЗ находится в работе у специалиста в пределах регламентных сроков</t>
  </si>
  <si>
    <t>24.03.2026 г. в ЮУ была направлена СЗ об исковой работе</t>
  </si>
  <si>
    <t>20.03.2026 г. в ЮУ была направлена СЗ об исковой работе</t>
  </si>
  <si>
    <t>23.03.2026 г. в ЮУ была направлена СЗ об исковой работе</t>
  </si>
  <si>
    <t>05.02.2026 г. в ЮУ была направлена СЗ об исковой работе</t>
  </si>
  <si>
    <t>02.03.2026 г. в ЮУ была направлена СЗ об исковой работе</t>
  </si>
  <si>
    <t>Дело № А33-5751/2026 от 06.03.2026 о взыскании пени в размере 14 803 998,25 руб..</t>
  </si>
  <si>
    <t>зачет 74 000</t>
  </si>
  <si>
    <t>уведомление об отказе от исполнения договора № 425 от 07.04.2025, отказной ответ № 260 от 15.04.2025</t>
  </si>
  <si>
    <t xml:space="preserve">не истек срок для ответа </t>
  </si>
  <si>
    <t>произведен зачет, исковая работа не требуется</t>
  </si>
  <si>
    <t>Претензия 6.19.13-21946 от 06.03.2026 пеня за нарушение сроков выполнения работ, штраф за нарушение сроков предоставления графика на сумму 5 058 857,83</t>
  </si>
  <si>
    <t>Увеличение стоимости договора, продление сроков до 30.12.2025</t>
  </si>
  <si>
    <t>позиция площадки договор исполнен  в необходимом объеме, претензионная работа не требуется</t>
  </si>
  <si>
    <t>ДС на продление сроков</t>
  </si>
  <si>
    <t xml:space="preserve">зачет 5 135 694,68, требуется  направить СЗ в ЮУ на инициирование искового производства </t>
  </si>
  <si>
    <t>РП</t>
  </si>
  <si>
    <t>ДПМ</t>
  </si>
  <si>
    <t>Претензия 6.19.13-24572 от 16.03.2026 штраф за нарушение сроков предоставления графика, штраф за нарушение сроков предоставления документации, пеня за нарушение сроков выполнения работ на сумму 7 585 361,85</t>
  </si>
  <si>
    <t>Претензия № 6.19.13-30867 от 30.03.2026 пеня за нарушение сроков выполнения работ на сумму 24 689 429,47</t>
  </si>
  <si>
    <t xml:space="preserve">зачет </t>
  </si>
  <si>
    <t>ведется претензионая работа</t>
  </si>
  <si>
    <t>ведется судеб производство</t>
  </si>
  <si>
    <t xml:space="preserve">инициированы иски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</si>
</sst>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 _₽_-;\-* #,##0.00\ _₽_-;_-* &quot;-&quot;??\ _₽_-;_-@_-"/>
    <numFmt numFmtId="165" formatCode="_-* #,##0.00_р_._-;\-* #,##0.00_р_._-;_-* &quot;-&quot;??_р_._-;_-@_-"/>
    <numFmt numFmtId="166" formatCode="#,##0.00_р_."/>
    <numFmt numFmtId="167" formatCode="_(* #,##0.00_);_(* \(#,##0.00\);_(* &quot;-&quot;??_);_(@_)"/>
    <numFmt numFmtId="168" formatCode="#,##0.00\ _₽"/>
    <numFmt numFmtId="169" formatCode="#,##0.00\ _₽;[Red]#,##0.00\ _₽"/>
  </numFmts>
  <fonts count="49" x14ac:knownFonts="1">
    <font>
      <sz val="11"/>
      <color theme="1"/>
      <name val="Calibri"/>
      <family val="2"/>
      <charset val="204"/>
      <scheme val="minor"/>
    </font>
    <font>
      <sz val="10"/>
      <name val="Arial"/>
      <family val="2"/>
      <charset val="204"/>
    </font>
    <font>
      <u/>
      <sz val="11"/>
      <color theme="11"/>
      <name val="Calibri"/>
      <family val="2"/>
      <charset val="204"/>
      <scheme val="minor"/>
    </font>
    <font>
      <b/>
      <sz val="11"/>
      <color theme="1"/>
      <name val="Times New Roman"/>
      <family val="1"/>
      <charset val="204"/>
    </font>
    <font>
      <sz val="11"/>
      <color theme="1"/>
      <name val="Times New Roman"/>
      <family val="1"/>
      <charset val="204"/>
    </font>
    <font>
      <b/>
      <sz val="11"/>
      <name val="Times New Roman"/>
      <family val="1"/>
      <charset val="204"/>
    </font>
    <font>
      <sz val="10"/>
      <name val="Arial Cyr"/>
      <charset val="204"/>
    </font>
    <font>
      <sz val="11"/>
      <color theme="1"/>
      <name val="Calibri"/>
      <family val="2"/>
      <charset val="204"/>
      <scheme val="minor"/>
    </font>
    <font>
      <sz val="11"/>
      <color theme="1"/>
      <name val="Calibri"/>
      <family val="2"/>
      <scheme val="minor"/>
    </font>
    <font>
      <u/>
      <sz val="12.1"/>
      <color theme="10"/>
      <name val="Calibri"/>
      <family val="2"/>
    </font>
    <font>
      <sz val="10"/>
      <name val="Times New Roman"/>
      <family val="1"/>
      <charset val="204"/>
    </font>
    <font>
      <u/>
      <sz val="11"/>
      <color theme="10"/>
      <name val="Calibri"/>
      <family val="2"/>
      <charset val="204"/>
      <scheme val="minor"/>
    </font>
    <font>
      <sz val="12"/>
      <color theme="1"/>
      <name val="Times New Roman"/>
      <family val="1"/>
      <charset val="204"/>
    </font>
    <font>
      <sz val="12"/>
      <name val="Times New Roman"/>
      <family val="1"/>
      <charset val="204"/>
    </font>
    <font>
      <sz val="11"/>
      <color rgb="FF000000"/>
      <name val="Times New Roman"/>
      <family val="1"/>
      <charset val="204"/>
    </font>
    <font>
      <b/>
      <sz val="11"/>
      <name val="Calibri"/>
      <family val="2"/>
      <charset val="204"/>
      <scheme val="minor"/>
    </font>
    <font>
      <sz val="11"/>
      <name val="Times New Roman"/>
      <family val="1"/>
      <charset val="204"/>
    </font>
    <font>
      <sz val="11"/>
      <name val="Calibri"/>
      <family val="2"/>
      <charset val="204"/>
      <scheme val="minor"/>
    </font>
    <font>
      <sz val="10"/>
      <color theme="1"/>
      <name val="Times New Roman"/>
      <family val="1"/>
      <charset val="204"/>
    </font>
    <font>
      <sz val="9"/>
      <color theme="1"/>
      <name val="Times New Roman"/>
      <family val="1"/>
      <charset val="204"/>
    </font>
    <font>
      <u/>
      <sz val="11"/>
      <color theme="10"/>
      <name val="Times New Roman"/>
      <family val="1"/>
      <charset val="204"/>
    </font>
    <font>
      <sz val="9"/>
      <color indexed="81"/>
      <name val="Tahoma"/>
      <family val="2"/>
      <charset val="204"/>
    </font>
    <font>
      <b/>
      <sz val="9"/>
      <color indexed="81"/>
      <name val="Tahoma"/>
      <family val="2"/>
      <charset val="204"/>
    </font>
    <font>
      <b/>
      <sz val="11"/>
      <color theme="1"/>
      <name val="Calibri"/>
      <family val="2"/>
      <charset val="204"/>
      <scheme val="minor"/>
    </font>
    <font>
      <b/>
      <sz val="20"/>
      <color theme="1"/>
      <name val="Calibri"/>
      <family val="2"/>
      <charset val="204"/>
      <scheme val="minor"/>
    </font>
    <font>
      <i/>
      <sz val="11"/>
      <color rgb="FFFF0000"/>
      <name val="Calibri"/>
      <family val="2"/>
      <charset val="204"/>
      <scheme val="minor"/>
    </font>
    <font>
      <sz val="9"/>
      <color rgb="FF000000"/>
      <name val="Times New Roman"/>
      <family val="1"/>
      <charset val="204"/>
    </font>
    <font>
      <sz val="11"/>
      <color rgb="FFFF0000"/>
      <name val="Calibri"/>
      <family val="2"/>
      <charset val="204"/>
      <scheme val="minor"/>
    </font>
    <font>
      <i/>
      <sz val="11"/>
      <name val="Calibri"/>
      <family val="2"/>
      <charset val="204"/>
      <scheme val="minor"/>
    </font>
    <font>
      <sz val="11"/>
      <color theme="0"/>
      <name val="Calibri"/>
      <family val="2"/>
      <charset val="204"/>
      <scheme val="minor"/>
    </font>
    <font>
      <u/>
      <sz val="11"/>
      <color rgb="FFFF0000"/>
      <name val="Calibri"/>
      <family val="2"/>
      <charset val="204"/>
      <scheme val="minor"/>
    </font>
    <font>
      <sz val="11"/>
      <color rgb="FF000080"/>
      <name val="Times New Roman"/>
      <family val="1"/>
      <charset val="204"/>
    </font>
    <font>
      <sz val="11"/>
      <color rgb="FFFF0000"/>
      <name val="Times New Roman"/>
      <family val="1"/>
      <charset val="204"/>
    </font>
    <font>
      <i/>
      <sz val="11"/>
      <color rgb="FFC00000"/>
      <name val="Calibri"/>
      <family val="2"/>
      <charset val="204"/>
      <scheme val="minor"/>
    </font>
    <font>
      <sz val="11"/>
      <color rgb="FFC00000"/>
      <name val="Calibri"/>
      <family val="2"/>
      <charset val="204"/>
      <scheme val="minor"/>
    </font>
    <font>
      <b/>
      <sz val="11"/>
      <color rgb="FFFF0000"/>
      <name val="Calibri"/>
      <family val="2"/>
      <charset val="204"/>
      <scheme val="minor"/>
    </font>
    <font>
      <sz val="10"/>
      <color theme="1"/>
      <name val="Calibri"/>
      <family val="2"/>
      <charset val="204"/>
      <scheme val="minor"/>
    </font>
    <font>
      <sz val="11"/>
      <color theme="9" tint="-0.249977111117893"/>
      <name val="Times New Roman"/>
      <family val="1"/>
      <charset val="204"/>
    </font>
    <font>
      <b/>
      <sz val="10"/>
      <name val="Arial"/>
      <family val="2"/>
      <charset val="204"/>
    </font>
    <font>
      <b/>
      <sz val="10"/>
      <color indexed="12"/>
      <name val="Arial"/>
      <family val="2"/>
      <charset val="204"/>
    </font>
    <font>
      <b/>
      <i/>
      <sz val="11"/>
      <name val="Arial"/>
      <family val="2"/>
      <charset val="204"/>
    </font>
    <font>
      <b/>
      <i/>
      <sz val="10"/>
      <name val="Arial"/>
      <family val="2"/>
      <charset val="204"/>
    </font>
    <font>
      <b/>
      <sz val="9"/>
      <name val="Arial"/>
      <family val="2"/>
      <charset val="204"/>
    </font>
    <font>
      <b/>
      <sz val="9"/>
      <color theme="1"/>
      <name val="Arial"/>
      <family val="2"/>
      <charset val="204"/>
    </font>
    <font>
      <sz val="10"/>
      <color theme="1"/>
      <name val="Arial"/>
      <family val="2"/>
      <charset val="204"/>
    </font>
    <font>
      <b/>
      <sz val="10"/>
      <color rgb="FFFF0000"/>
      <name val="Arial"/>
      <family val="2"/>
      <charset val="204"/>
    </font>
    <font>
      <sz val="10"/>
      <color rgb="FFFF0000"/>
      <name val="Arial"/>
      <family val="2"/>
      <charset val="204"/>
    </font>
    <font>
      <b/>
      <sz val="9"/>
      <color rgb="FFFF0000"/>
      <name val="Arial"/>
      <family val="2"/>
      <charset val="204"/>
    </font>
    <font>
      <sz val="12"/>
      <name val="Calibri"/>
      <family val="2"/>
      <charset val="204"/>
      <scheme val="minor"/>
    </font>
  </fonts>
  <fills count="40">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2"/>
        <bgColor indexed="64"/>
      </patternFill>
    </fill>
    <fill>
      <patternFill patternType="solid">
        <fgColor theme="3" tint="0.79998168889431442"/>
        <bgColor indexed="64"/>
      </patternFill>
    </fill>
    <fill>
      <patternFill patternType="solid">
        <fgColor rgb="FF66FFFF"/>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4.9989318521683403E-2"/>
        <bgColor rgb="FF000000"/>
      </patternFill>
    </fill>
    <fill>
      <patternFill patternType="solid">
        <fgColor rgb="FFFF0000"/>
        <bgColor indexed="64"/>
      </patternFill>
    </fill>
    <fill>
      <patternFill patternType="solid">
        <fgColor theme="8" tint="0.39997558519241921"/>
        <bgColor indexed="64"/>
      </patternFill>
    </fill>
    <fill>
      <patternFill patternType="solid">
        <fgColor rgb="FF00B05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9"/>
        <bgColor indexed="64"/>
      </patternFill>
    </fill>
    <fill>
      <patternFill patternType="solid">
        <fgColor rgb="FF00FFCC"/>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right/>
      <top style="thin">
        <color auto="1"/>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thin">
        <color auto="1"/>
      </right>
      <top/>
      <bottom style="medium">
        <color auto="1"/>
      </bottom>
      <diagonal/>
    </border>
    <border>
      <left/>
      <right style="thin">
        <color auto="1"/>
      </right>
      <top style="thin">
        <color auto="1"/>
      </top>
      <bottom/>
      <diagonal/>
    </border>
    <border>
      <left/>
      <right/>
      <top style="thin">
        <color auto="1"/>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auto="1"/>
      </left>
      <right style="thin">
        <color auto="1"/>
      </right>
      <top style="medium">
        <color auto="1"/>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s>
  <cellStyleXfs count="382">
    <xf numFmtId="0" fontId="0" fillId="0" borderId="0"/>
    <xf numFmtId="0" fontId="1" fillId="0" borderId="0"/>
    <xf numFmtId="167" fontId="1"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65" fontId="6" fillId="0" borderId="0" applyFont="0" applyFill="0" applyBorder="0" applyAlignment="0" applyProtection="0"/>
    <xf numFmtId="0" fontId="6" fillId="0" borderId="0"/>
    <xf numFmtId="0" fontId="8" fillId="0" borderId="0"/>
    <xf numFmtId="0" fontId="7" fillId="0" borderId="0"/>
    <xf numFmtId="0" fontId="9" fillId="0" borderId="0" applyNumberFormat="0" applyFill="0" applyBorder="0" applyAlignment="0" applyProtection="0">
      <alignment vertical="top"/>
      <protection locked="0"/>
    </xf>
    <xf numFmtId="0" fontId="7" fillId="0" borderId="0"/>
    <xf numFmtId="0" fontId="10" fillId="0" borderId="1">
      <alignment horizontal="center"/>
    </xf>
    <xf numFmtId="0" fontId="6" fillId="0" borderId="0"/>
    <xf numFmtId="0" fontId="7" fillId="0" borderId="0"/>
    <xf numFmtId="0" fontId="10" fillId="0" borderId="1" applyFill="0" applyProtection="0">
      <alignment horizont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8" fillId="0" borderId="0" applyFont="0" applyFill="0" applyBorder="0" applyAlignment="0" applyProtection="0"/>
    <xf numFmtId="0" fontId="7" fillId="0" borderId="0"/>
    <xf numFmtId="0" fontId="10" fillId="0" borderId="3">
      <alignment horizontal="center"/>
    </xf>
    <xf numFmtId="0" fontId="7" fillId="0" borderId="0"/>
    <xf numFmtId="0" fontId="10" fillId="0" borderId="3" applyFill="0" applyProtection="0">
      <alignment horizont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8" fillId="0" borderId="0"/>
    <xf numFmtId="0" fontId="1" fillId="0" borderId="0"/>
    <xf numFmtId="0" fontId="6" fillId="0" borderId="0"/>
    <xf numFmtId="0" fontId="7" fillId="0" borderId="0"/>
    <xf numFmtId="0" fontId="10" fillId="0" borderId="3">
      <alignment horizontal="center"/>
    </xf>
    <xf numFmtId="0" fontId="10" fillId="0" borderId="3" applyFill="0" applyProtection="0">
      <alignment horizontal="center"/>
    </xf>
    <xf numFmtId="0" fontId="7" fillId="0" borderId="0"/>
    <xf numFmtId="164" fontId="8" fillId="0" borderId="0" applyFont="0" applyFill="0" applyBorder="0" applyAlignment="0" applyProtection="0"/>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7" fillId="0" borderId="0"/>
    <xf numFmtId="164" fontId="7" fillId="0" borderId="0" applyFont="0" applyFill="0" applyBorder="0" applyAlignment="0" applyProtection="0"/>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7" fillId="0" borderId="0"/>
    <xf numFmtId="0" fontId="7" fillId="0" borderId="0"/>
    <xf numFmtId="0" fontId="7" fillId="0" borderId="0"/>
    <xf numFmtId="0" fontId="7" fillId="0" borderId="0"/>
    <xf numFmtId="0" fontId="10" fillId="0" borderId="3" applyFill="0" applyProtection="0">
      <alignment horizontal="center"/>
    </xf>
    <xf numFmtId="0" fontId="7" fillId="0" borderId="0"/>
    <xf numFmtId="0" fontId="7" fillId="0" borderId="0"/>
    <xf numFmtId="0" fontId="7" fillId="0" borderId="0"/>
    <xf numFmtId="0" fontId="7" fillId="0" borderId="0"/>
    <xf numFmtId="0" fontId="7" fillId="0" borderId="0"/>
    <xf numFmtId="0" fontId="7" fillId="0" borderId="0"/>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pplyFill="0" applyProtection="0">
      <alignment horizontal="center"/>
    </xf>
    <xf numFmtId="0" fontId="10" fillId="0" borderId="3">
      <alignment horizontal="center"/>
    </xf>
    <xf numFmtId="0" fontId="10" fillId="0" borderId="3" applyFill="0" applyProtection="0">
      <alignment horizontal="center"/>
    </xf>
    <xf numFmtId="0" fontId="10" fillId="0" borderId="3">
      <alignment horizontal="center"/>
    </xf>
    <xf numFmtId="0" fontId="11" fillId="0" borderId="0" applyNumberFormat="0" applyFill="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20" borderId="0" applyNumberFormat="0" applyBorder="0" applyAlignment="0" applyProtection="0"/>
    <xf numFmtId="0" fontId="7" fillId="23" borderId="0" applyNumberFormat="0" applyBorder="0" applyAlignment="0" applyProtection="0"/>
    <xf numFmtId="0" fontId="29" fillId="9" borderId="0" applyNumberFormat="0" applyBorder="0" applyAlignment="0" applyProtection="0"/>
    <xf numFmtId="0" fontId="29" fillId="12" borderId="0" applyNumberFormat="0" applyBorder="0" applyAlignment="0" applyProtection="0"/>
    <xf numFmtId="0" fontId="29" fillId="15" borderId="0" applyNumberFormat="0" applyBorder="0" applyAlignment="0" applyProtection="0"/>
    <xf numFmtId="0" fontId="29" fillId="18" borderId="0" applyNumberFormat="0" applyBorder="0" applyAlignment="0" applyProtection="0"/>
    <xf numFmtId="0" fontId="29" fillId="21" borderId="0" applyNumberFormat="0" applyBorder="0" applyAlignment="0" applyProtection="0"/>
    <xf numFmtId="0" fontId="29" fillId="24" borderId="0" applyNumberFormat="0" applyBorder="0" applyAlignment="0" applyProtection="0"/>
  </cellStyleXfs>
  <cellXfs count="542">
    <xf numFmtId="0" fontId="0" fillId="0" borderId="0" xfId="0"/>
    <xf numFmtId="0" fontId="0" fillId="0" borderId="0" xfId="0" applyFill="1"/>
    <xf numFmtId="0" fontId="0" fillId="0" borderId="0" xfId="0" applyFill="1" applyAlignment="1">
      <alignment horizontal="center" vertical="center"/>
    </xf>
    <xf numFmtId="0" fontId="4" fillId="0" borderId="3" xfId="0" applyFont="1" applyBorder="1" applyAlignment="1">
      <alignment horizontal="center" vertical="center"/>
    </xf>
    <xf numFmtId="0" fontId="4" fillId="2" borderId="3" xfId="0" applyFont="1" applyFill="1" applyBorder="1" applyAlignment="1">
      <alignment horizontal="center" vertical="center"/>
    </xf>
    <xf numFmtId="0" fontId="4" fillId="2" borderId="1" xfId="0" applyFont="1" applyFill="1" applyBorder="1" applyAlignment="1">
      <alignment horizontal="left" wrapText="1"/>
    </xf>
    <xf numFmtId="0" fontId="4" fillId="2" borderId="3" xfId="0" applyFont="1" applyFill="1" applyBorder="1" applyAlignment="1">
      <alignment horizontal="left" wrapText="1"/>
    </xf>
    <xf numFmtId="0" fontId="4" fillId="2" borderId="3" xfId="0" applyFont="1" applyFill="1" applyBorder="1" applyAlignment="1">
      <alignment horizontal="left"/>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12"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0" borderId="3" xfId="0" applyFont="1" applyBorder="1" applyAlignment="1">
      <alignment horizontal="left" vertical="center"/>
    </xf>
    <xf numFmtId="0" fontId="4" fillId="2" borderId="3" xfId="0" applyFont="1" applyFill="1" applyBorder="1" applyAlignment="1">
      <alignment horizontal="left" vertical="center"/>
    </xf>
    <xf numFmtId="0" fontId="4" fillId="0" borderId="6" xfId="0" applyFont="1" applyBorder="1" applyAlignment="1">
      <alignment horizontal="center" vertical="center"/>
    </xf>
    <xf numFmtId="0" fontId="4" fillId="3" borderId="6" xfId="0" applyFont="1" applyFill="1" applyBorder="1" applyAlignment="1">
      <alignment horizontal="center" vertical="center" wrapText="1"/>
    </xf>
    <xf numFmtId="0" fontId="0" fillId="0" borderId="3" xfId="0" applyFill="1" applyBorder="1"/>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2" borderId="0" xfId="0" applyFill="1" applyAlignment="1">
      <alignment horizontal="center" vertical="center"/>
    </xf>
    <xf numFmtId="0" fontId="4" fillId="2" borderId="5" xfId="0" applyFont="1" applyFill="1" applyBorder="1" applyAlignment="1">
      <alignment vertical="center" wrapText="1"/>
    </xf>
    <xf numFmtId="0" fontId="4" fillId="0" borderId="3" xfId="0" applyFont="1" applyBorder="1" applyAlignment="1">
      <alignment horizontal="center" vertical="center"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wrapText="1"/>
    </xf>
    <xf numFmtId="0" fontId="0" fillId="0" borderId="0" xfId="0" applyFont="1" applyFill="1" applyAlignment="1">
      <alignment horizontal="center" vertical="center"/>
    </xf>
    <xf numFmtId="0" fontId="4" fillId="2" borderId="6" xfId="0" applyFont="1" applyFill="1" applyBorder="1" applyAlignment="1">
      <alignment horizontal="center" vertical="center"/>
    </xf>
    <xf numFmtId="0" fontId="4" fillId="2" borderId="6" xfId="0" applyFont="1" applyFill="1" applyBorder="1" applyAlignment="1">
      <alignment horizontal="left" vertical="center" wrapText="1"/>
    </xf>
    <xf numFmtId="0" fontId="17" fillId="0" borderId="3" xfId="0" applyFont="1" applyFill="1" applyBorder="1" applyAlignment="1">
      <alignment horizontal="center" vertical="center"/>
    </xf>
    <xf numFmtId="0" fontId="17" fillId="2" borderId="3" xfId="0" applyFont="1" applyFill="1" applyBorder="1" applyAlignment="1">
      <alignment horizontal="center" vertical="center"/>
    </xf>
    <xf numFmtId="0" fontId="4" fillId="2" borderId="6" xfId="0" applyFont="1" applyFill="1" applyBorder="1" applyAlignment="1">
      <alignment horizontal="center" wrapText="1"/>
    </xf>
    <xf numFmtId="0" fontId="17" fillId="2" borderId="3" xfId="0" applyFont="1" applyFill="1" applyBorder="1"/>
    <xf numFmtId="0" fontId="13" fillId="2" borderId="1" xfId="0" applyFont="1" applyFill="1" applyBorder="1" applyAlignment="1">
      <alignment horizontal="left" vertical="center" wrapText="1"/>
    </xf>
    <xf numFmtId="0" fontId="13" fillId="2" borderId="3" xfId="0" applyFont="1" applyFill="1" applyBorder="1" applyAlignment="1">
      <alignment horizontal="left" vertical="center" wrapText="1"/>
    </xf>
    <xf numFmtId="14" fontId="4" fillId="2" borderId="3" xfId="0" applyNumberFormat="1" applyFont="1" applyFill="1" applyBorder="1" applyAlignment="1">
      <alignment horizontal="center" vertical="center" wrapText="1"/>
    </xf>
    <xf numFmtId="168" fontId="4" fillId="2" borderId="3" xfId="0" applyNumberFormat="1" applyFont="1" applyFill="1" applyBorder="1" applyAlignment="1">
      <alignment wrapText="1"/>
    </xf>
    <xf numFmtId="168" fontId="4" fillId="2" borderId="1" xfId="0" applyNumberFormat="1" applyFont="1" applyFill="1" applyBorder="1" applyAlignment="1">
      <alignment horizontal="center" wrapText="1"/>
    </xf>
    <xf numFmtId="168" fontId="4" fillId="2" borderId="1" xfId="0" applyNumberFormat="1" applyFont="1" applyFill="1" applyBorder="1" applyAlignment="1">
      <alignment horizontal="center" vertical="center" wrapText="1"/>
    </xf>
    <xf numFmtId="168" fontId="4" fillId="2" borderId="3" xfId="0" applyNumberFormat="1" applyFont="1" applyFill="1" applyBorder="1" applyAlignment="1">
      <alignment horizontal="center" vertical="center" wrapText="1"/>
    </xf>
    <xf numFmtId="168" fontId="4" fillId="2" borderId="3" xfId="0" applyNumberFormat="1" applyFont="1" applyFill="1" applyBorder="1" applyAlignment="1">
      <alignment horizontal="center" wrapText="1"/>
    </xf>
    <xf numFmtId="168" fontId="4" fillId="3" borderId="3" xfId="0" applyNumberFormat="1"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17" fillId="3" borderId="3" xfId="0" applyFont="1" applyFill="1" applyBorder="1" applyAlignment="1">
      <alignment horizontal="center" vertical="center"/>
    </xf>
    <xf numFmtId="0" fontId="0" fillId="3" borderId="3" xfId="0" applyFill="1" applyBorder="1" applyAlignment="1">
      <alignment horizontal="center" vertical="center"/>
    </xf>
    <xf numFmtId="0" fontId="0" fillId="3" borderId="0" xfId="0" applyFill="1" applyAlignment="1">
      <alignment horizontal="center" vertical="center"/>
    </xf>
    <xf numFmtId="0" fontId="17" fillId="0" borderId="3"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xf numFmtId="0" fontId="11" fillId="0" borderId="3" xfId="363" applyFill="1" applyBorder="1" applyAlignment="1">
      <alignment horizontal="center" vertical="center"/>
    </xf>
    <xf numFmtId="168" fontId="4" fillId="2" borderId="3" xfId="0" applyNumberFormat="1" applyFont="1" applyFill="1" applyBorder="1" applyAlignment="1">
      <alignment horizontal="center" vertical="center"/>
    </xf>
    <xf numFmtId="14" fontId="4" fillId="2" borderId="3" xfId="0" applyNumberFormat="1" applyFont="1" applyFill="1" applyBorder="1" applyAlignment="1">
      <alignment horizontal="center" vertical="center"/>
    </xf>
    <xf numFmtId="0" fontId="11" fillId="0" borderId="3" xfId="363" applyFill="1" applyBorder="1" applyAlignment="1">
      <alignment horizontal="center" vertical="center" wrapText="1"/>
    </xf>
    <xf numFmtId="0" fontId="23" fillId="4" borderId="3" xfId="0" applyFont="1" applyFill="1" applyBorder="1" applyAlignment="1">
      <alignment horizontal="center" vertical="center"/>
    </xf>
    <xf numFmtId="0" fontId="23" fillId="3" borderId="3" xfId="0" applyFont="1" applyFill="1" applyBorder="1" applyAlignment="1">
      <alignment horizontal="center" vertical="center"/>
    </xf>
    <xf numFmtId="0" fontId="24" fillId="3" borderId="7" xfId="0" applyFont="1" applyFill="1" applyBorder="1" applyAlignment="1">
      <alignment horizontal="center" vertical="center"/>
    </xf>
    <xf numFmtId="0" fontId="5" fillId="2" borderId="3" xfId="0" applyFont="1" applyFill="1" applyBorder="1" applyAlignment="1">
      <alignment horizontal="center" vertical="center"/>
    </xf>
    <xf numFmtId="0" fontId="25"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168" fontId="4" fillId="0" borderId="3" xfId="0" applyNumberFormat="1" applyFont="1" applyBorder="1" applyAlignment="1">
      <alignment horizontal="center" vertical="center"/>
    </xf>
    <xf numFmtId="4" fontId="4" fillId="2" borderId="3" xfId="0" applyNumberFormat="1" applyFont="1" applyFill="1" applyBorder="1" applyAlignment="1">
      <alignment horizontal="center" vertical="center" wrapText="1"/>
    </xf>
    <xf numFmtId="4" fontId="4" fillId="2" borderId="3" xfId="0" applyNumberFormat="1" applyFont="1" applyFill="1" applyBorder="1" applyAlignment="1">
      <alignment horizontal="center" vertical="center"/>
    </xf>
    <xf numFmtId="0" fontId="23" fillId="4" borderId="3"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17" fillId="2" borderId="5" xfId="0" applyFont="1" applyFill="1" applyBorder="1" applyAlignment="1">
      <alignment horizontal="center" vertical="center"/>
    </xf>
    <xf numFmtId="0" fontId="0" fillId="2" borderId="5" xfId="0" applyFill="1" applyBorder="1" applyAlignment="1">
      <alignment horizontal="center" vertical="center" wrapText="1"/>
    </xf>
    <xf numFmtId="0" fontId="0" fillId="2" borderId="5" xfId="0" applyFill="1" applyBorder="1" applyAlignment="1">
      <alignment horizontal="center" vertical="center"/>
    </xf>
    <xf numFmtId="0" fontId="4" fillId="3" borderId="3" xfId="0" applyFont="1" applyFill="1" applyBorder="1" applyAlignment="1">
      <alignment horizontal="center" vertical="center"/>
    </xf>
    <xf numFmtId="0" fontId="4" fillId="3" borderId="1" xfId="0" applyFont="1" applyFill="1" applyBorder="1" applyAlignment="1">
      <alignment horizontal="center" vertical="center"/>
    </xf>
    <xf numFmtId="0" fontId="0" fillId="3" borderId="3" xfId="0" applyFill="1" applyBorder="1"/>
    <xf numFmtId="14" fontId="4" fillId="3" borderId="3" xfId="0" applyNumberFormat="1" applyFont="1" applyFill="1" applyBorder="1" applyAlignment="1">
      <alignment horizontal="center" vertical="center" wrapText="1"/>
    </xf>
    <xf numFmtId="0" fontId="17" fillId="3" borderId="3" xfId="363" applyFont="1" applyFill="1" applyBorder="1" applyAlignment="1">
      <alignment horizontal="left" vertical="center" wrapText="1"/>
    </xf>
    <xf numFmtId="0" fontId="13" fillId="3" borderId="1" xfId="0" applyFont="1" applyFill="1" applyBorder="1" applyAlignment="1">
      <alignment horizontal="left" vertical="center" wrapText="1"/>
    </xf>
    <xf numFmtId="0" fontId="4" fillId="3" borderId="6" xfId="0" applyFont="1" applyFill="1" applyBorder="1" applyAlignment="1">
      <alignment horizontal="center" vertical="center"/>
    </xf>
    <xf numFmtId="168" fontId="4" fillId="3" borderId="1" xfId="0" applyNumberFormat="1" applyFont="1" applyFill="1" applyBorder="1" applyAlignment="1">
      <alignment horizontal="center" vertical="center"/>
    </xf>
    <xf numFmtId="168" fontId="4" fillId="3" borderId="3" xfId="0" applyNumberFormat="1" applyFont="1" applyFill="1" applyBorder="1" applyAlignment="1">
      <alignment horizontal="center" vertical="center"/>
    </xf>
    <xf numFmtId="0" fontId="4" fillId="3" borderId="3" xfId="0" applyFont="1" applyFill="1" applyBorder="1" applyAlignment="1">
      <alignment horizontal="left" vertical="center"/>
    </xf>
    <xf numFmtId="0" fontId="17" fillId="3" borderId="6" xfId="0" applyFont="1" applyFill="1" applyBorder="1" applyAlignment="1">
      <alignment horizontal="center" vertical="center"/>
    </xf>
    <xf numFmtId="168" fontId="4" fillId="2" borderId="3" xfId="0" applyNumberFormat="1" applyFont="1" applyFill="1" applyBorder="1"/>
    <xf numFmtId="14" fontId="4" fillId="0" borderId="3" xfId="0" applyNumberFormat="1" applyFont="1" applyBorder="1" applyAlignment="1">
      <alignment horizontal="center" vertical="center"/>
    </xf>
    <xf numFmtId="0" fontId="5" fillId="2" borderId="3" xfId="0" applyFont="1" applyFill="1" applyBorder="1" applyAlignment="1">
      <alignment horizontal="center" vertical="center"/>
    </xf>
    <xf numFmtId="0" fontId="24" fillId="3" borderId="3" xfId="0" applyFont="1" applyFill="1" applyBorder="1" applyAlignment="1">
      <alignment horizontal="center" vertical="center" wrapText="1"/>
    </xf>
    <xf numFmtId="0" fontId="5" fillId="2" borderId="6"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3" borderId="5" xfId="0" applyFont="1" applyFill="1" applyBorder="1" applyAlignment="1">
      <alignment vertical="center" wrapText="1"/>
    </xf>
    <xf numFmtId="14" fontId="4" fillId="3" borderId="3" xfId="0" applyNumberFormat="1" applyFont="1" applyFill="1" applyBorder="1" applyAlignment="1">
      <alignment horizontal="left" vertical="center" wrapText="1"/>
    </xf>
    <xf numFmtId="0" fontId="4" fillId="3" borderId="6" xfId="0" applyFont="1" applyFill="1" applyBorder="1" applyAlignment="1">
      <alignment horizontal="center" wrapText="1"/>
    </xf>
    <xf numFmtId="0" fontId="4" fillId="3" borderId="3" xfId="0" applyFont="1" applyFill="1" applyBorder="1" applyAlignment="1">
      <alignment horizontal="left" wrapText="1"/>
    </xf>
    <xf numFmtId="168" fontId="4" fillId="3" borderId="3" xfId="0" applyNumberFormat="1" applyFont="1" applyFill="1" applyBorder="1" applyAlignment="1">
      <alignment horizontal="center" wrapText="1"/>
    </xf>
    <xf numFmtId="14" fontId="4" fillId="3" borderId="3" xfId="0" applyNumberFormat="1" applyFont="1" applyFill="1" applyBorder="1" applyAlignment="1">
      <alignment horizontal="left" wrapText="1"/>
    </xf>
    <xf numFmtId="0" fontId="11" fillId="3" borderId="3" xfId="363" applyFill="1" applyBorder="1" applyAlignment="1">
      <alignment horizontal="center" vertical="center"/>
    </xf>
    <xf numFmtId="0" fontId="4" fillId="0" borderId="5" xfId="0" applyFont="1" applyFill="1" applyBorder="1" applyAlignment="1">
      <alignment vertical="center" wrapText="1"/>
    </xf>
    <xf numFmtId="0" fontId="4" fillId="0" borderId="5" xfId="0" applyFont="1" applyFill="1" applyBorder="1" applyAlignment="1">
      <alignment horizontal="center" vertical="center" wrapText="1"/>
    </xf>
    <xf numFmtId="0" fontId="4" fillId="0" borderId="3" xfId="0" applyFont="1" applyFill="1" applyBorder="1" applyAlignment="1">
      <alignment horizontal="center" vertical="center" wrapText="1"/>
    </xf>
    <xf numFmtId="14" fontId="4" fillId="0" borderId="3" xfId="0" applyNumberFormat="1" applyFont="1" applyFill="1" applyBorder="1" applyAlignment="1">
      <alignment horizontal="center" vertical="center" wrapText="1"/>
    </xf>
    <xf numFmtId="0" fontId="4" fillId="0" borderId="3" xfId="0" applyFont="1" applyFill="1" applyBorder="1" applyAlignment="1">
      <alignment horizontal="left" vertical="center" wrapText="1"/>
    </xf>
    <xf numFmtId="168" fontId="4" fillId="0" borderId="3" xfId="0" applyNumberFormat="1" applyFont="1" applyFill="1" applyBorder="1" applyAlignment="1">
      <alignment horizontal="center" vertical="center" wrapText="1"/>
    </xf>
    <xf numFmtId="0" fontId="17" fillId="0" borderId="3" xfId="0" applyFont="1" applyFill="1" applyBorder="1"/>
    <xf numFmtId="0" fontId="0" fillId="3" borderId="6" xfId="0" applyFill="1" applyBorder="1" applyAlignment="1">
      <alignment horizontal="center" vertical="center" wrapText="1"/>
    </xf>
    <xf numFmtId="0" fontId="4" fillId="0" borderId="3" xfId="0" applyFont="1" applyFill="1" applyBorder="1" applyAlignment="1">
      <alignment horizontal="left" wrapText="1"/>
    </xf>
    <xf numFmtId="168" fontId="4" fillId="0" borderId="3" xfId="0" applyNumberFormat="1" applyFont="1" applyFill="1" applyBorder="1" applyAlignment="1">
      <alignment wrapText="1"/>
    </xf>
    <xf numFmtId="4" fontId="4" fillId="0" borderId="3" xfId="0" applyNumberFormat="1" applyFont="1" applyFill="1" applyBorder="1" applyAlignment="1">
      <alignment horizontal="right" vertical="center" wrapText="1"/>
    </xf>
    <xf numFmtId="0" fontId="0" fillId="2" borderId="6" xfId="0" applyFill="1" applyBorder="1" applyAlignment="1">
      <alignment horizontal="center" vertical="center"/>
    </xf>
    <xf numFmtId="0" fontId="17" fillId="0" borderId="3" xfId="363" applyFont="1" applyFill="1" applyBorder="1" applyAlignment="1">
      <alignment horizontal="left" vertical="center" wrapText="1"/>
    </xf>
    <xf numFmtId="168" fontId="16" fillId="2" borderId="3" xfId="0" applyNumberFormat="1" applyFont="1" applyFill="1" applyBorder="1" applyAlignment="1">
      <alignment horizontal="center" vertical="center" wrapText="1"/>
    </xf>
    <xf numFmtId="0" fontId="0" fillId="3" borderId="6" xfId="0" applyFill="1" applyBorder="1" applyAlignment="1">
      <alignment horizontal="center" vertical="center"/>
    </xf>
    <xf numFmtId="0" fontId="0" fillId="3" borderId="3" xfId="0" applyFill="1" applyBorder="1" applyAlignment="1">
      <alignment horizontal="left" vertical="center" wrapText="1"/>
    </xf>
    <xf numFmtId="0" fontId="17" fillId="0" borderId="3" xfId="363" applyFont="1" applyBorder="1" applyAlignment="1">
      <alignment vertical="center" wrapText="1"/>
    </xf>
    <xf numFmtId="0" fontId="13" fillId="0" borderId="3" xfId="0" applyFont="1" applyBorder="1" applyAlignment="1">
      <alignment horizontal="center" vertical="center" wrapText="1"/>
    </xf>
    <xf numFmtId="0" fontId="13" fillId="2" borderId="3" xfId="0" applyFont="1" applyFill="1" applyBorder="1" applyAlignment="1">
      <alignment vertical="center" wrapText="1"/>
    </xf>
    <xf numFmtId="0" fontId="17" fillId="2" borderId="0" xfId="0" applyFont="1" applyFill="1" applyAlignment="1">
      <alignment horizontal="center" vertical="center"/>
    </xf>
    <xf numFmtId="0" fontId="0" fillId="2" borderId="0" xfId="0" applyFill="1" applyAlignment="1">
      <alignment horizontal="center" vertical="center" wrapText="1"/>
    </xf>
    <xf numFmtId="49" fontId="4" fillId="3" borderId="3" xfId="0" applyNumberFormat="1" applyFont="1" applyFill="1" applyBorder="1" applyAlignment="1">
      <alignment horizontal="center" vertical="center" wrapText="1"/>
    </xf>
    <xf numFmtId="0" fontId="4" fillId="26" borderId="3" xfId="0" applyFont="1" applyFill="1" applyBorder="1" applyAlignment="1">
      <alignment horizontal="center" vertical="center" wrapText="1"/>
    </xf>
    <xf numFmtId="14" fontId="4" fillId="26" borderId="3" xfId="0" applyNumberFormat="1" applyFont="1" applyFill="1" applyBorder="1" applyAlignment="1">
      <alignment horizontal="center" vertical="center" wrapText="1"/>
    </xf>
    <xf numFmtId="0" fontId="4" fillId="26" borderId="3" xfId="0" applyFont="1" applyFill="1" applyBorder="1" applyAlignment="1">
      <alignment horizontal="left" vertical="center" wrapText="1"/>
    </xf>
    <xf numFmtId="168" fontId="4" fillId="26" borderId="3" xfId="0" applyNumberFormat="1" applyFont="1" applyFill="1" applyBorder="1" applyAlignment="1">
      <alignment horizontal="center" vertical="center" wrapText="1"/>
    </xf>
    <xf numFmtId="0" fontId="0" fillId="26" borderId="3" xfId="0" applyFill="1" applyBorder="1" applyAlignment="1">
      <alignment horizontal="center" vertical="center" wrapText="1"/>
    </xf>
    <xf numFmtId="0" fontId="25" fillId="26" borderId="3" xfId="0" applyFont="1" applyFill="1" applyBorder="1" applyAlignment="1">
      <alignment horizontal="center" vertical="center" wrapText="1"/>
    </xf>
    <xf numFmtId="0" fontId="17" fillId="26" borderId="3" xfId="0" applyFont="1" applyFill="1" applyBorder="1" applyAlignment="1">
      <alignment horizontal="center" vertical="center" wrapText="1"/>
    </xf>
    <xf numFmtId="0" fontId="17" fillId="26" borderId="3" xfId="0" applyFont="1" applyFill="1" applyBorder="1" applyAlignment="1">
      <alignment horizontal="center" vertical="center"/>
    </xf>
    <xf numFmtId="0" fontId="4" fillId="26" borderId="6" xfId="0" applyFont="1" applyFill="1" applyBorder="1" applyAlignment="1">
      <alignment horizontal="center" vertical="center" wrapText="1"/>
    </xf>
    <xf numFmtId="0" fontId="4" fillId="26" borderId="3" xfId="0" applyFont="1" applyFill="1" applyBorder="1" applyAlignment="1">
      <alignment horizontal="center" vertical="center"/>
    </xf>
    <xf numFmtId="0" fontId="0" fillId="26" borderId="3" xfId="0" applyFill="1" applyBorder="1" applyAlignment="1">
      <alignment horizontal="center" vertical="center"/>
    </xf>
    <xf numFmtId="0" fontId="0" fillId="26" borderId="0" xfId="0" applyFill="1" applyAlignment="1">
      <alignment horizontal="center" vertical="center"/>
    </xf>
    <xf numFmtId="0" fontId="16" fillId="26" borderId="3" xfId="363" applyFont="1" applyFill="1" applyBorder="1" applyAlignment="1">
      <alignment horizontal="left" vertical="center" wrapText="1"/>
    </xf>
    <xf numFmtId="0" fontId="17" fillId="26" borderId="3" xfId="363" applyFont="1" applyFill="1" applyBorder="1" applyAlignment="1">
      <alignment horizontal="left" vertical="center" wrapText="1"/>
    </xf>
    <xf numFmtId="0" fontId="11" fillId="26" borderId="3" xfId="363" applyFill="1" applyBorder="1" applyAlignment="1">
      <alignment horizontal="center" vertical="center"/>
    </xf>
    <xf numFmtId="0" fontId="4" fillId="26" borderId="6" xfId="0" applyFont="1" applyFill="1" applyBorder="1" applyAlignment="1">
      <alignment horizontal="center" vertical="center"/>
    </xf>
    <xf numFmtId="168" fontId="4" fillId="26" borderId="3" xfId="0" applyNumberFormat="1" applyFont="1" applyFill="1" applyBorder="1" applyAlignment="1">
      <alignment horizontal="center" vertical="center"/>
    </xf>
    <xf numFmtId="14" fontId="4" fillId="26" borderId="3" xfId="0" applyNumberFormat="1" applyFont="1" applyFill="1" applyBorder="1" applyAlignment="1">
      <alignment horizontal="center" vertical="center"/>
    </xf>
    <xf numFmtId="0" fontId="4" fillId="26" borderId="3" xfId="0" applyFont="1" applyFill="1" applyBorder="1" applyAlignment="1">
      <alignment horizontal="left" vertical="center"/>
    </xf>
    <xf numFmtId="0" fontId="28" fillId="26" borderId="3" xfId="0" applyFont="1" applyFill="1" applyBorder="1" applyAlignment="1">
      <alignment horizontal="center" vertical="center" wrapText="1"/>
    </xf>
    <xf numFmtId="0" fontId="0" fillId="0" borderId="0" xfId="0" applyFill="1" applyBorder="1" applyAlignment="1">
      <alignment horizontal="center" vertical="center"/>
    </xf>
    <xf numFmtId="4" fontId="4" fillId="3" borderId="3" xfId="0" applyNumberFormat="1" applyFont="1" applyFill="1" applyBorder="1" applyAlignment="1">
      <alignment horizontal="right" wrapText="1"/>
    </xf>
    <xf numFmtId="0" fontId="27" fillId="3" borderId="3" xfId="0" applyFont="1" applyFill="1" applyBorder="1" applyAlignment="1">
      <alignment horizontal="center" vertical="center" wrapText="1"/>
    </xf>
    <xf numFmtId="0" fontId="17" fillId="3" borderId="1" xfId="363" applyFont="1" applyFill="1" applyBorder="1" applyAlignment="1">
      <alignment horizontal="left" vertical="center" wrapText="1"/>
    </xf>
    <xf numFmtId="168" fontId="4" fillId="3" borderId="1" xfId="0" applyNumberFormat="1" applyFont="1" applyFill="1" applyBorder="1" applyAlignment="1">
      <alignment horizontal="center" vertical="center" wrapText="1"/>
    </xf>
    <xf numFmtId="0" fontId="4" fillId="3" borderId="0" xfId="0" applyFont="1" applyFill="1" applyAlignment="1">
      <alignment horizontal="center" vertical="center"/>
    </xf>
    <xf numFmtId="0" fontId="20" fillId="3" borderId="3" xfId="363" applyFont="1" applyFill="1" applyBorder="1" applyAlignment="1">
      <alignment horizontal="center" vertical="center"/>
    </xf>
    <xf numFmtId="14" fontId="4" fillId="3" borderId="1" xfId="0" applyNumberFormat="1" applyFont="1" applyFill="1" applyBorder="1" applyAlignment="1">
      <alignment horizontal="center" vertical="center" wrapText="1"/>
    </xf>
    <xf numFmtId="168" fontId="16" fillId="3" borderId="3" xfId="0" applyNumberFormat="1" applyFont="1" applyFill="1" applyBorder="1" applyAlignment="1">
      <alignment horizontal="center" vertical="center" wrapText="1"/>
    </xf>
    <xf numFmtId="0" fontId="17" fillId="3" borderId="3" xfId="363" applyFont="1" applyFill="1" applyBorder="1" applyAlignment="1">
      <alignment vertical="center" wrapText="1"/>
    </xf>
    <xf numFmtId="14" fontId="4" fillId="3" borderId="1" xfId="0" applyNumberFormat="1" applyFont="1" applyFill="1" applyBorder="1" applyAlignment="1">
      <alignment horizontal="center" vertical="center"/>
    </xf>
    <xf numFmtId="0" fontId="17" fillId="3" borderId="3" xfId="363" applyFont="1" applyFill="1" applyBorder="1" applyAlignment="1">
      <alignment horizontal="left" vertical="center"/>
    </xf>
    <xf numFmtId="0" fontId="13" fillId="3" borderId="1" xfId="363" applyFont="1" applyFill="1" applyBorder="1" applyAlignment="1">
      <alignment horizontal="left" vertical="center" wrapText="1"/>
    </xf>
    <xf numFmtId="0" fontId="17" fillId="3" borderId="3" xfId="0" applyFont="1" applyFill="1" applyBorder="1"/>
    <xf numFmtId="0" fontId="4" fillId="3" borderId="1" xfId="0" applyFont="1" applyFill="1" applyBorder="1" applyAlignment="1">
      <alignment horizontal="left" wrapText="1"/>
    </xf>
    <xf numFmtId="168" fontId="4" fillId="3" borderId="1" xfId="0" applyNumberFormat="1" applyFont="1" applyFill="1" applyBorder="1" applyAlignment="1">
      <alignment horizontal="center" wrapText="1"/>
    </xf>
    <xf numFmtId="168" fontId="4" fillId="3" borderId="1" xfId="0" applyNumberFormat="1" applyFont="1" applyFill="1" applyBorder="1" applyAlignment="1">
      <alignment wrapText="1"/>
    </xf>
    <xf numFmtId="0" fontId="0" fillId="3" borderId="3" xfId="0" applyFill="1" applyBorder="1" applyAlignment="1">
      <alignment vertical="center"/>
    </xf>
    <xf numFmtId="14" fontId="4" fillId="3" borderId="3" xfId="0" applyNumberFormat="1" applyFont="1" applyFill="1" applyBorder="1" applyAlignment="1">
      <alignment horizontal="center" vertical="center"/>
    </xf>
    <xf numFmtId="14" fontId="0" fillId="3" borderId="3" xfId="0" applyNumberFormat="1" applyFill="1" applyBorder="1" applyAlignment="1">
      <alignment horizontal="center" vertical="center" wrapText="1"/>
    </xf>
    <xf numFmtId="0" fontId="7" fillId="3" borderId="3" xfId="363" applyFont="1" applyFill="1" applyBorder="1" applyAlignment="1">
      <alignment horizontal="left" vertical="center" wrapText="1"/>
    </xf>
    <xf numFmtId="0" fontId="0" fillId="3" borderId="0" xfId="0" applyFill="1" applyBorder="1" applyAlignment="1">
      <alignment horizontal="center" vertical="center"/>
    </xf>
    <xf numFmtId="0" fontId="0" fillId="0" borderId="0" xfId="0" applyFill="1" applyBorder="1"/>
    <xf numFmtId="0" fontId="17" fillId="3" borderId="0" xfId="363" applyFont="1" applyFill="1" applyAlignment="1">
      <alignment vertical="center"/>
    </xf>
    <xf numFmtId="0" fontId="4" fillId="0" borderId="0" xfId="0" applyFont="1" applyBorder="1" applyAlignment="1">
      <alignment horizontal="center" vertical="center"/>
    </xf>
    <xf numFmtId="0" fontId="13" fillId="0" borderId="0" xfId="0" applyFont="1" applyBorder="1" applyAlignment="1">
      <alignment horizontal="left" vertical="center" wrapText="1"/>
    </xf>
    <xf numFmtId="0" fontId="4" fillId="0" borderId="0" xfId="0" applyFont="1" applyBorder="1" applyAlignment="1">
      <alignment horizontal="left" vertical="center" wrapText="1"/>
    </xf>
    <xf numFmtId="168" fontId="4" fillId="0" borderId="0" xfId="0" applyNumberFormat="1" applyFont="1" applyBorder="1" applyAlignment="1">
      <alignment horizontal="center" vertical="center"/>
    </xf>
    <xf numFmtId="0" fontId="4" fillId="0" borderId="0" xfId="0" applyFont="1" applyBorder="1" applyAlignment="1">
      <alignment horizontal="left" vertical="center"/>
    </xf>
    <xf numFmtId="0" fontId="4" fillId="0" borderId="0" xfId="0" applyFont="1" applyBorder="1" applyAlignment="1">
      <alignment horizontal="center" vertical="center" wrapText="1"/>
    </xf>
    <xf numFmtId="0" fontId="17" fillId="0" borderId="0" xfId="0" applyFont="1" applyFill="1" applyBorder="1" applyAlignment="1">
      <alignment horizontal="center" vertical="center"/>
    </xf>
    <xf numFmtId="0" fontId="17"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4" fillId="0" borderId="0" xfId="0" applyFont="1" applyFill="1" applyBorder="1" applyAlignment="1">
      <alignment horizontal="center" vertical="center"/>
    </xf>
    <xf numFmtId="0" fontId="1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8" fontId="4" fillId="0" borderId="0" xfId="0" applyNumberFormat="1" applyFont="1" applyFill="1" applyBorder="1" applyAlignment="1">
      <alignment horizontal="center" vertical="center"/>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wrapText="1"/>
    </xf>
    <xf numFmtId="0" fontId="23" fillId="3" borderId="6" xfId="0" applyFont="1" applyFill="1" applyBorder="1" applyAlignment="1">
      <alignment horizontal="center" vertical="center"/>
    </xf>
    <xf numFmtId="0" fontId="0" fillId="0" borderId="0" xfId="0" applyFont="1" applyFill="1" applyBorder="1" applyAlignment="1">
      <alignment horizontal="center" vertical="center"/>
    </xf>
    <xf numFmtId="168" fontId="4" fillId="0" borderId="0" xfId="0" applyNumberFormat="1" applyFont="1" applyFill="1" applyBorder="1" applyAlignment="1">
      <alignment horizontal="center"/>
    </xf>
    <xf numFmtId="14" fontId="4" fillId="2" borderId="1" xfId="0" applyNumberFormat="1" applyFont="1" applyFill="1" applyBorder="1" applyAlignment="1">
      <alignment horizontal="center" vertical="center" wrapText="1"/>
    </xf>
    <xf numFmtId="0" fontId="0" fillId="6" borderId="3" xfId="0" applyFill="1" applyBorder="1" applyAlignment="1">
      <alignment horizontal="center" vertical="center" wrapText="1"/>
    </xf>
    <xf numFmtId="0" fontId="23" fillId="6" borderId="3" xfId="0" applyFont="1" applyFill="1" applyBorder="1" applyAlignment="1">
      <alignment horizontal="center" vertical="center" wrapText="1"/>
    </xf>
    <xf numFmtId="0" fontId="0" fillId="3" borderId="0" xfId="0" applyFill="1" applyBorder="1" applyAlignment="1">
      <alignment horizontal="center" vertical="center" wrapText="1"/>
    </xf>
    <xf numFmtId="0" fontId="17" fillId="2" borderId="0" xfId="0" applyFont="1" applyFill="1" applyBorder="1" applyAlignment="1">
      <alignment horizontal="center" vertical="center"/>
    </xf>
    <xf numFmtId="168" fontId="17" fillId="3" borderId="3" xfId="0" applyNumberFormat="1" applyFont="1" applyFill="1" applyBorder="1" applyAlignment="1">
      <alignment horizontal="center" vertical="center"/>
    </xf>
    <xf numFmtId="168" fontId="0" fillId="3" borderId="3" xfId="0" applyNumberFormat="1" applyFill="1" applyBorder="1" applyAlignment="1">
      <alignment horizontal="center" vertical="center" wrapText="1"/>
    </xf>
    <xf numFmtId="168" fontId="4" fillId="2" borderId="3" xfId="0" applyNumberFormat="1" applyFont="1" applyFill="1" applyBorder="1" applyAlignment="1">
      <alignment horizontal="left" vertical="center" wrapText="1"/>
    </xf>
    <xf numFmtId="168" fontId="17" fillId="25" borderId="3" xfId="0" applyNumberFormat="1" applyFont="1" applyFill="1" applyBorder="1" applyAlignment="1">
      <alignment horizontal="center" vertical="center"/>
    </xf>
    <xf numFmtId="168" fontId="32" fillId="2" borderId="3" xfId="0" applyNumberFormat="1" applyFont="1" applyFill="1" applyBorder="1" applyAlignment="1">
      <alignment horizontal="center" vertical="center" wrapText="1"/>
    </xf>
    <xf numFmtId="0" fontId="0" fillId="0" borderId="0" xfId="0" applyFont="1" applyFill="1"/>
    <xf numFmtId="0" fontId="16" fillId="2" borderId="3" xfId="0" applyFont="1" applyFill="1" applyBorder="1" applyAlignment="1">
      <alignment horizontal="left" vertical="center" wrapText="1"/>
    </xf>
    <xf numFmtId="0" fontId="0" fillId="2" borderId="0" xfId="0" applyFont="1" applyFill="1"/>
    <xf numFmtId="4" fontId="4" fillId="2" borderId="3" xfId="0" applyNumberFormat="1" applyFont="1" applyFill="1" applyBorder="1" applyAlignment="1">
      <alignment horizontal="right" vertical="center"/>
    </xf>
    <xf numFmtId="0" fontId="4" fillId="2" borderId="3" xfId="0" applyFont="1" applyFill="1" applyBorder="1"/>
    <xf numFmtId="168" fontId="0" fillId="2" borderId="3" xfId="0" applyNumberFormat="1" applyFont="1" applyFill="1" applyBorder="1" applyAlignment="1">
      <alignment horizontal="center" vertical="center"/>
    </xf>
    <xf numFmtId="14" fontId="4" fillId="0" borderId="6" xfId="0" applyNumberFormat="1" applyFont="1" applyBorder="1" applyAlignment="1">
      <alignment horizontal="center" vertical="center"/>
    </xf>
    <xf numFmtId="0" fontId="0" fillId="2" borderId="4" xfId="0" applyFill="1" applyBorder="1" applyAlignment="1">
      <alignment horizontal="center" vertical="center"/>
    </xf>
    <xf numFmtId="169" fontId="4" fillId="2" borderId="1" xfId="0" applyNumberFormat="1" applyFont="1" applyFill="1" applyBorder="1" applyAlignment="1">
      <alignment horizontal="center" vertical="center" wrapText="1"/>
    </xf>
    <xf numFmtId="169" fontId="4" fillId="2" borderId="3" xfId="0" applyNumberFormat="1" applyFont="1" applyFill="1" applyBorder="1" applyAlignment="1">
      <alignment horizontal="center" vertical="center" wrapText="1"/>
    </xf>
    <xf numFmtId="0" fontId="17" fillId="0" borderId="7" xfId="363" applyFont="1" applyFill="1" applyBorder="1" applyAlignment="1">
      <alignment horizontal="left" vertical="center" wrapText="1"/>
    </xf>
    <xf numFmtId="0" fontId="4" fillId="0" borderId="6" xfId="0" applyFont="1" applyFill="1" applyBorder="1" applyAlignment="1">
      <alignment horizontal="center" wrapText="1"/>
    </xf>
    <xf numFmtId="168" fontId="4" fillId="0" borderId="3" xfId="0" applyNumberFormat="1" applyFont="1" applyFill="1" applyBorder="1" applyAlignment="1">
      <alignment horizontal="center" wrapText="1"/>
    </xf>
    <xf numFmtId="14" fontId="4" fillId="0" borderId="3" xfId="0" applyNumberFormat="1" applyFont="1" applyFill="1" applyBorder="1" applyAlignment="1">
      <alignment horizontal="left" wrapText="1"/>
    </xf>
    <xf numFmtId="0" fontId="0" fillId="0" borderId="3" xfId="0" applyFill="1" applyBorder="1" applyAlignment="1">
      <alignment horizontal="left" vertical="center" wrapText="1"/>
    </xf>
    <xf numFmtId="0" fontId="27" fillId="6"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0" fillId="3" borderId="0" xfId="0" applyFill="1" applyBorder="1"/>
    <xf numFmtId="0" fontId="27" fillId="6" borderId="3" xfId="0" applyFont="1" applyFill="1" applyBorder="1" applyAlignment="1">
      <alignment horizontal="center" vertical="center"/>
    </xf>
    <xf numFmtId="0" fontId="15" fillId="6" borderId="3" xfId="0" applyFont="1" applyFill="1" applyBorder="1" applyAlignment="1">
      <alignment horizontal="center" vertical="center"/>
    </xf>
    <xf numFmtId="0" fontId="0" fillId="2" borderId="3" xfId="0" applyFont="1" applyFill="1" applyBorder="1"/>
    <xf numFmtId="4" fontId="0" fillId="2" borderId="3" xfId="0" applyNumberFormat="1" applyFont="1" applyFill="1" applyBorder="1" applyAlignment="1">
      <alignment horizontal="center" vertical="center"/>
    </xf>
    <xf numFmtId="0" fontId="32" fillId="2" borderId="3" xfId="0" applyNumberFormat="1" applyFont="1" applyFill="1" applyBorder="1" applyAlignment="1">
      <alignment horizontal="center" vertical="center" wrapText="1"/>
    </xf>
    <xf numFmtId="0" fontId="27" fillId="2" borderId="3" xfId="0" applyFont="1" applyFill="1" applyBorder="1" applyAlignment="1">
      <alignment vertical="center" wrapText="1"/>
    </xf>
    <xf numFmtId="0" fontId="5" fillId="2" borderId="3" xfId="0" applyFont="1" applyFill="1" applyBorder="1" applyAlignment="1">
      <alignment horizontal="center" vertical="center"/>
    </xf>
    <xf numFmtId="0" fontId="5" fillId="2" borderId="6" xfId="0" applyFont="1" applyFill="1" applyBorder="1" applyAlignment="1">
      <alignment horizontal="center" vertical="center"/>
    </xf>
    <xf numFmtId="0" fontId="25" fillId="6" borderId="3" xfId="0" applyFont="1" applyFill="1" applyBorder="1" applyAlignment="1">
      <alignment horizontal="center" vertical="center" wrapText="1"/>
    </xf>
    <xf numFmtId="0" fontId="34" fillId="6" borderId="3" xfId="0" applyFont="1" applyFill="1" applyBorder="1" applyAlignment="1">
      <alignment horizontal="center" vertical="center"/>
    </xf>
    <xf numFmtId="0" fontId="17" fillId="6" borderId="3" xfId="0" applyFont="1" applyFill="1" applyBorder="1" applyAlignment="1">
      <alignment horizontal="center" vertical="center"/>
    </xf>
    <xf numFmtId="0" fontId="0" fillId="28" borderId="3" xfId="0" applyFill="1" applyBorder="1" applyAlignment="1">
      <alignment horizontal="center" vertical="center" wrapText="1"/>
    </xf>
    <xf numFmtId="0" fontId="16" fillId="0" borderId="0" xfId="0" applyFont="1" applyBorder="1" applyAlignment="1">
      <alignment horizontal="left" vertical="center" wrapText="1"/>
    </xf>
    <xf numFmtId="0" fontId="16" fillId="0" borderId="0" xfId="0" applyFont="1" applyBorder="1" applyAlignment="1">
      <alignment horizontal="center" vertical="center" wrapText="1"/>
    </xf>
    <xf numFmtId="4" fontId="4" fillId="0" borderId="0" xfId="0" applyNumberFormat="1" applyFont="1" applyBorder="1" applyAlignment="1">
      <alignment horizontal="center" vertical="center"/>
    </xf>
    <xf numFmtId="4" fontId="4" fillId="0" borderId="0" xfId="0" applyNumberFormat="1" applyFont="1" applyBorder="1" applyAlignment="1">
      <alignment horizontal="right" vertical="center"/>
    </xf>
    <xf numFmtId="0" fontId="4" fillId="0" borderId="0" xfId="0" applyFont="1" applyBorder="1" applyAlignment="1">
      <alignment horizontal="left" wrapText="1"/>
    </xf>
    <xf numFmtId="168" fontId="0" fillId="0" borderId="0" xfId="0" applyNumberFormat="1" applyFont="1" applyFill="1" applyBorder="1" applyAlignment="1">
      <alignment horizontal="center" vertical="center"/>
    </xf>
    <xf numFmtId="0" fontId="27" fillId="0" borderId="0" xfId="0" applyFont="1" applyFill="1" applyBorder="1" applyAlignment="1">
      <alignment vertical="center" wrapText="1"/>
    </xf>
    <xf numFmtId="0" fontId="0" fillId="0" borderId="0" xfId="0" applyFont="1" applyFill="1" applyBorder="1"/>
    <xf numFmtId="14" fontId="4" fillId="0" borderId="0" xfId="0" applyNumberFormat="1" applyFont="1" applyBorder="1" applyAlignment="1">
      <alignment horizontal="center" vertical="center"/>
    </xf>
    <xf numFmtId="0" fontId="32" fillId="2" borderId="3" xfId="0" applyFont="1" applyFill="1" applyBorder="1" applyAlignment="1">
      <alignment horizontal="left" vertical="center" wrapText="1"/>
    </xf>
    <xf numFmtId="0" fontId="17" fillId="2" borderId="8" xfId="0" applyFont="1" applyFill="1" applyBorder="1" applyAlignment="1">
      <alignment horizontal="center" vertical="center"/>
    </xf>
    <xf numFmtId="168" fontId="4" fillId="25" borderId="3" xfId="0" applyNumberFormat="1" applyFont="1" applyFill="1" applyBorder="1" applyAlignment="1">
      <alignment horizontal="center" vertical="center" wrapText="1"/>
    </xf>
    <xf numFmtId="168" fontId="16" fillId="25" borderId="3"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0" fontId="0" fillId="2" borderId="8" xfId="0" applyFill="1" applyBorder="1" applyAlignment="1">
      <alignment horizontal="center" vertical="center"/>
    </xf>
    <xf numFmtId="0" fontId="4" fillId="3" borderId="8" xfId="0" applyFont="1" applyFill="1" applyBorder="1" applyAlignment="1">
      <alignment horizontal="center" vertical="center"/>
    </xf>
    <xf numFmtId="0" fontId="0" fillId="0" borderId="8" xfId="0" applyFill="1" applyBorder="1" applyAlignment="1">
      <alignment horizontal="center" vertical="center"/>
    </xf>
    <xf numFmtId="0" fontId="4" fillId="2" borderId="8"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6" xfId="0" applyFont="1" applyFill="1" applyBorder="1" applyAlignment="1">
      <alignment horizontal="center" vertical="center"/>
    </xf>
    <xf numFmtId="0" fontId="0" fillId="29" borderId="3" xfId="0" applyFill="1" applyBorder="1" applyAlignment="1">
      <alignment horizontal="center" vertical="center" wrapText="1"/>
    </xf>
    <xf numFmtId="0" fontId="17" fillId="2" borderId="8" xfId="0" applyFont="1" applyFill="1" applyBorder="1" applyAlignment="1">
      <alignment horizontal="center" vertical="center" wrapText="1"/>
    </xf>
    <xf numFmtId="0" fontId="4" fillId="3" borderId="9" xfId="0" applyFont="1" applyFill="1" applyBorder="1" applyAlignment="1">
      <alignment horizontal="center" vertical="center"/>
    </xf>
    <xf numFmtId="0" fontId="4" fillId="2" borderId="9" xfId="0" applyFont="1" applyFill="1" applyBorder="1" applyAlignment="1">
      <alignment horizontal="center" wrapText="1"/>
    </xf>
    <xf numFmtId="0" fontId="4" fillId="0" borderId="9" xfId="0" applyNumberFormat="1" applyFont="1" applyBorder="1" applyAlignment="1">
      <alignment horizontal="center" vertical="center"/>
    </xf>
    <xf numFmtId="0" fontId="4" fillId="2" borderId="9" xfId="0" applyFont="1" applyFill="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xf>
    <xf numFmtId="0" fontId="4" fillId="2" borderId="8" xfId="0" applyFont="1" applyFill="1" applyBorder="1" applyAlignment="1">
      <alignment horizontal="center" vertical="center"/>
    </xf>
    <xf numFmtId="0" fontId="12" fillId="2" borderId="3" xfId="0" applyFont="1" applyFill="1" applyBorder="1" applyAlignment="1">
      <alignment vertical="center" wrapText="1"/>
    </xf>
    <xf numFmtId="0" fontId="13" fillId="0" borderId="3" xfId="0" applyFont="1" applyBorder="1" applyAlignment="1">
      <alignment vertical="center" wrapText="1"/>
    </xf>
    <xf numFmtId="0" fontId="16" fillId="2" borderId="3" xfId="0" applyFont="1" applyFill="1" applyBorder="1" applyAlignment="1">
      <alignment vertical="center" wrapText="1"/>
    </xf>
    <xf numFmtId="168" fontId="4" fillId="30" borderId="3" xfId="0" applyNumberFormat="1" applyFont="1" applyFill="1" applyBorder="1" applyAlignment="1">
      <alignment horizontal="center" vertical="center"/>
    </xf>
    <xf numFmtId="0" fontId="0" fillId="0" borderId="0" xfId="0" applyFill="1" applyAlignment="1">
      <alignment horizontal="center" vertical="center" wrapText="1"/>
    </xf>
    <xf numFmtId="4" fontId="0" fillId="2" borderId="3" xfId="0" applyNumberFormat="1" applyFill="1" applyBorder="1" applyAlignment="1">
      <alignment horizontal="center" vertical="center"/>
    </xf>
    <xf numFmtId="4" fontId="32" fillId="2" borderId="3" xfId="0" applyNumberFormat="1" applyFont="1" applyFill="1" applyBorder="1" applyAlignment="1">
      <alignment horizontal="center" vertical="center"/>
    </xf>
    <xf numFmtId="0" fontId="17" fillId="0" borderId="3" xfId="0" applyFont="1" applyBorder="1" applyAlignment="1">
      <alignment horizontal="center" vertical="center" wrapText="1"/>
    </xf>
    <xf numFmtId="4" fontId="4" fillId="2" borderId="3" xfId="0" applyNumberFormat="1" applyFont="1" applyFill="1" applyBorder="1" applyAlignment="1">
      <alignment horizontal="right" vertical="center" wrapText="1"/>
    </xf>
    <xf numFmtId="0" fontId="27" fillId="3" borderId="3" xfId="0" applyFont="1" applyFill="1" applyBorder="1" applyAlignment="1">
      <alignment vertical="center" wrapText="1"/>
    </xf>
    <xf numFmtId="4" fontId="4" fillId="2" borderId="3" xfId="0" applyNumberFormat="1" applyFont="1" applyFill="1" applyBorder="1" applyAlignment="1">
      <alignment horizontal="center" wrapText="1"/>
    </xf>
    <xf numFmtId="0" fontId="1" fillId="0" borderId="0" xfId="0" applyFont="1" applyFill="1"/>
    <xf numFmtId="49" fontId="39" fillId="0" borderId="0" xfId="0" applyNumberFormat="1" applyFont="1" applyFill="1" applyBorder="1" applyAlignment="1">
      <alignment horizontal="left"/>
    </xf>
    <xf numFmtId="49" fontId="1" fillId="0" borderId="0" xfId="0" applyNumberFormat="1" applyFont="1" applyFill="1" applyBorder="1" applyAlignment="1">
      <alignment horizontal="left"/>
    </xf>
    <xf numFmtId="14" fontId="1" fillId="0" borderId="0" xfId="0" applyNumberFormat="1" applyFont="1" applyFill="1" applyBorder="1" applyAlignment="1">
      <alignment horizontal="left"/>
    </xf>
    <xf numFmtId="4" fontId="1" fillId="0" borderId="0" xfId="0" applyNumberFormat="1" applyFont="1" applyFill="1" applyAlignment="1">
      <alignment horizontal="right"/>
    </xf>
    <xf numFmtId="49" fontId="1" fillId="0" borderId="0" xfId="0" applyNumberFormat="1" applyFont="1" applyFill="1"/>
    <xf numFmtId="0" fontId="40" fillId="0" borderId="0" xfId="0" applyFont="1" applyFill="1" applyBorder="1" applyAlignment="1"/>
    <xf numFmtId="4" fontId="1" fillId="0" borderId="0" xfId="0" applyNumberFormat="1" applyFont="1" applyFill="1"/>
    <xf numFmtId="49" fontId="1" fillId="0" borderId="0" xfId="0" applyNumberFormat="1" applyFont="1" applyFill="1" applyBorder="1"/>
    <xf numFmtId="49" fontId="41" fillId="0" borderId="0" xfId="0" applyNumberFormat="1" applyFont="1" applyFill="1" applyBorder="1"/>
    <xf numFmtId="14" fontId="1" fillId="0" borderId="0" xfId="0" applyNumberFormat="1" applyFont="1" applyFill="1" applyBorder="1"/>
    <xf numFmtId="4" fontId="38" fillId="0" borderId="0" xfId="0" applyNumberFormat="1" applyFont="1" applyFill="1" applyBorder="1" applyAlignment="1">
      <alignment horizontal="right"/>
    </xf>
    <xf numFmtId="49" fontId="41" fillId="0" borderId="0" xfId="0" applyNumberFormat="1" applyFont="1" applyFill="1"/>
    <xf numFmtId="14" fontId="1" fillId="0" borderId="0" xfId="0" applyNumberFormat="1" applyFont="1" applyFill="1"/>
    <xf numFmtId="4" fontId="38" fillId="0" borderId="0" xfId="0" applyNumberFormat="1" applyFont="1" applyFill="1" applyAlignment="1">
      <alignment horizontal="right"/>
    </xf>
    <xf numFmtId="0" fontId="38" fillId="0" borderId="0" xfId="0" applyFont="1" applyFill="1" applyBorder="1" applyAlignment="1">
      <alignment vertical="top" wrapText="1"/>
    </xf>
    <xf numFmtId="49" fontId="38" fillId="0" borderId="0" xfId="0" applyNumberFormat="1" applyFont="1" applyFill="1" applyBorder="1" applyAlignment="1">
      <alignment vertical="top" wrapText="1"/>
    </xf>
    <xf numFmtId="4" fontId="0" fillId="0" borderId="0" xfId="0" applyNumberFormat="1" applyFill="1" applyBorder="1" applyAlignment="1">
      <alignment vertical="top" wrapText="1"/>
    </xf>
    <xf numFmtId="49" fontId="42" fillId="0" borderId="24" xfId="0" applyNumberFormat="1" applyFont="1" applyFill="1" applyBorder="1" applyAlignment="1">
      <alignment horizontal="center" vertical="center" wrapText="1"/>
    </xf>
    <xf numFmtId="49" fontId="42" fillId="0" borderId="19" xfId="0" applyNumberFormat="1" applyFont="1" applyFill="1" applyBorder="1" applyAlignment="1">
      <alignment horizontal="center" vertical="center" wrapText="1"/>
    </xf>
    <xf numFmtId="4" fontId="42" fillId="0" borderId="19" xfId="0" applyNumberFormat="1" applyFont="1" applyFill="1" applyBorder="1" applyAlignment="1">
      <alignment horizontal="center" vertical="center" wrapText="1"/>
    </xf>
    <xf numFmtId="0" fontId="42" fillId="0" borderId="19" xfId="0" applyFont="1" applyFill="1" applyBorder="1" applyAlignment="1">
      <alignment horizontal="center" vertical="center" wrapText="1"/>
    </xf>
    <xf numFmtId="49" fontId="42" fillId="0" borderId="25" xfId="0" applyNumberFormat="1" applyFont="1" applyFill="1" applyBorder="1" applyAlignment="1">
      <alignment horizontal="center" vertical="center" wrapText="1"/>
    </xf>
    <xf numFmtId="4" fontId="42" fillId="0" borderId="25" xfId="0" applyNumberFormat="1" applyFont="1" applyFill="1" applyBorder="1" applyAlignment="1">
      <alignment horizontal="center" vertical="center" wrapText="1"/>
    </xf>
    <xf numFmtId="0" fontId="43" fillId="0" borderId="26" xfId="0" applyFont="1" applyBorder="1" applyAlignment="1">
      <alignment horizontal="center" vertical="center" wrapText="1"/>
    </xf>
    <xf numFmtId="49" fontId="1" fillId="0" borderId="27" xfId="0" applyNumberFormat="1" applyFont="1" applyBorder="1" applyAlignment="1">
      <alignment horizontal="left"/>
    </xf>
    <xf numFmtId="49" fontId="1" fillId="0" borderId="4" xfId="0" applyNumberFormat="1" applyFont="1" applyBorder="1" applyAlignment="1">
      <alignment horizontal="left"/>
    </xf>
    <xf numFmtId="0" fontId="1" fillId="0" borderId="4" xfId="0" applyFont="1" applyBorder="1" applyAlignment="1">
      <alignment horizontal="left"/>
    </xf>
    <xf numFmtId="14" fontId="1" fillId="0" borderId="4" xfId="0" applyNumberFormat="1" applyFont="1" applyBorder="1" applyAlignment="1">
      <alignment horizontal="left"/>
    </xf>
    <xf numFmtId="4" fontId="1" fillId="0" borderId="4" xfId="0" applyNumberFormat="1" applyFont="1" applyBorder="1" applyAlignment="1">
      <alignment horizontal="center"/>
    </xf>
    <xf numFmtId="0" fontId="44" fillId="0" borderId="28" xfId="0" applyFont="1" applyBorder="1" applyAlignment="1">
      <alignment wrapText="1"/>
    </xf>
    <xf numFmtId="49" fontId="1" fillId="6" borderId="27" xfId="0" applyNumberFormat="1" applyFont="1" applyFill="1" applyBorder="1" applyAlignment="1">
      <alignment horizontal="left"/>
    </xf>
    <xf numFmtId="49" fontId="1" fillId="6" borderId="4" xfId="0" applyNumberFormat="1" applyFont="1" applyFill="1" applyBorder="1" applyAlignment="1">
      <alignment horizontal="left"/>
    </xf>
    <xf numFmtId="0" fontId="1" fillId="6" borderId="4" xfId="0" applyFont="1" applyFill="1" applyBorder="1" applyAlignment="1">
      <alignment horizontal="left"/>
    </xf>
    <xf numFmtId="14" fontId="1" fillId="6" borderId="4" xfId="0" applyNumberFormat="1" applyFont="1" applyFill="1" applyBorder="1" applyAlignment="1">
      <alignment horizontal="left"/>
    </xf>
    <xf numFmtId="4" fontId="1" fillId="6" borderId="4" xfId="0" applyNumberFormat="1" applyFont="1" applyFill="1" applyBorder="1" applyAlignment="1">
      <alignment horizontal="center"/>
    </xf>
    <xf numFmtId="0" fontId="44" fillId="6" borderId="28" xfId="0" applyFont="1" applyFill="1" applyBorder="1" applyAlignment="1">
      <alignment wrapText="1"/>
    </xf>
    <xf numFmtId="0" fontId="0" fillId="6" borderId="0" xfId="0" applyFill="1"/>
    <xf numFmtId="49" fontId="38" fillId="0" borderId="12" xfId="0" applyNumberFormat="1" applyFont="1" applyBorder="1"/>
    <xf numFmtId="49" fontId="38" fillId="0" borderId="13" xfId="0" applyNumberFormat="1" applyFont="1" applyBorder="1"/>
    <xf numFmtId="0" fontId="38" fillId="0" borderId="13" xfId="0" applyFont="1" applyBorder="1"/>
    <xf numFmtId="4" fontId="38" fillId="0" borderId="13" xfId="0" applyNumberFormat="1" applyFont="1" applyBorder="1" applyAlignment="1">
      <alignment horizontal="center"/>
    </xf>
    <xf numFmtId="0" fontId="0" fillId="0" borderId="29" xfId="0" applyBorder="1"/>
    <xf numFmtId="0" fontId="46" fillId="0" borderId="4" xfId="0" applyFont="1" applyBorder="1" applyAlignment="1">
      <alignment horizontal="left" wrapText="1"/>
    </xf>
    <xf numFmtId="0" fontId="45" fillId="6" borderId="4" xfId="0" applyFont="1" applyFill="1" applyBorder="1" applyAlignment="1">
      <alignment horizontal="center" vertical="center" wrapText="1"/>
    </xf>
    <xf numFmtId="0" fontId="45" fillId="0" borderId="13" xfId="0" applyFont="1" applyBorder="1" applyAlignment="1">
      <alignment wrapText="1"/>
    </xf>
    <xf numFmtId="0" fontId="27" fillId="0" borderId="0" xfId="0" applyFont="1" applyAlignment="1">
      <alignment wrapText="1"/>
    </xf>
    <xf numFmtId="49" fontId="41" fillId="0" borderId="0" xfId="0" applyNumberFormat="1" applyFont="1" applyFill="1" applyBorder="1" applyAlignment="1">
      <alignment wrapText="1"/>
    </xf>
    <xf numFmtId="49" fontId="41" fillId="0" borderId="0" xfId="0" applyNumberFormat="1" applyFont="1" applyFill="1" applyAlignment="1">
      <alignment wrapText="1"/>
    </xf>
    <xf numFmtId="49" fontId="1" fillId="0" borderId="4" xfId="0" applyNumberFormat="1" applyFont="1" applyBorder="1" applyAlignment="1">
      <alignment horizontal="left" wrapText="1"/>
    </xf>
    <xf numFmtId="49" fontId="1" fillId="6" borderId="4" xfId="0" applyNumberFormat="1" applyFont="1" applyFill="1" applyBorder="1" applyAlignment="1">
      <alignment horizontal="left" wrapText="1"/>
    </xf>
    <xf numFmtId="49" fontId="38" fillId="0" borderId="13" xfId="0" applyNumberFormat="1" applyFont="1" applyBorder="1" applyAlignment="1">
      <alignment wrapText="1"/>
    </xf>
    <xf numFmtId="0" fontId="0" fillId="0" borderId="0" xfId="0" applyAlignment="1">
      <alignment wrapText="1"/>
    </xf>
    <xf numFmtId="0" fontId="4" fillId="30" borderId="5" xfId="0" applyFont="1" applyFill="1" applyBorder="1" applyAlignment="1">
      <alignment horizontal="center" vertical="center" wrapText="1"/>
    </xf>
    <xf numFmtId="0" fontId="4" fillId="30" borderId="5" xfId="0" applyFont="1" applyFill="1" applyBorder="1" applyAlignment="1">
      <alignment vertical="center" wrapText="1"/>
    </xf>
    <xf numFmtId="0" fontId="4" fillId="30" borderId="3" xfId="0" applyFont="1" applyFill="1" applyBorder="1" applyAlignment="1">
      <alignment horizontal="center" vertical="center" wrapText="1"/>
    </xf>
    <xf numFmtId="0" fontId="13" fillId="30" borderId="1" xfId="363" applyFont="1" applyFill="1" applyBorder="1" applyAlignment="1">
      <alignment horizontal="left" vertical="center" wrapText="1"/>
    </xf>
    <xf numFmtId="0" fontId="4" fillId="30" borderId="6" xfId="0" applyFont="1" applyFill="1" applyBorder="1" applyAlignment="1">
      <alignment horizontal="center" wrapText="1"/>
    </xf>
    <xf numFmtId="14" fontId="4" fillId="30" borderId="1" xfId="0" applyNumberFormat="1" applyFont="1" applyFill="1" applyBorder="1" applyAlignment="1">
      <alignment horizontal="center" vertical="center" wrapText="1"/>
    </xf>
    <xf numFmtId="0" fontId="4" fillId="30" borderId="1" xfId="0" applyFont="1" applyFill="1" applyBorder="1" applyAlignment="1">
      <alignment horizontal="left" wrapText="1"/>
    </xf>
    <xf numFmtId="168" fontId="4" fillId="30" borderId="1" xfId="0" applyNumberFormat="1" applyFont="1" applyFill="1" applyBorder="1" applyAlignment="1">
      <alignment horizontal="center" wrapText="1"/>
    </xf>
    <xf numFmtId="168" fontId="4" fillId="30" borderId="1" xfId="0" applyNumberFormat="1" applyFont="1" applyFill="1" applyBorder="1" applyAlignment="1">
      <alignment wrapText="1"/>
    </xf>
    <xf numFmtId="0" fontId="4" fillId="30" borderId="3" xfId="0" applyFont="1" applyFill="1" applyBorder="1" applyAlignment="1">
      <alignment horizontal="left" wrapText="1"/>
    </xf>
    <xf numFmtId="14" fontId="4" fillId="30" borderId="3" xfId="0" applyNumberFormat="1" applyFont="1" applyFill="1" applyBorder="1" applyAlignment="1">
      <alignment horizontal="left" wrapText="1"/>
    </xf>
    <xf numFmtId="0" fontId="4" fillId="30" borderId="1" xfId="0" applyFont="1" applyFill="1" applyBorder="1" applyAlignment="1">
      <alignment horizontal="center" vertical="center"/>
    </xf>
    <xf numFmtId="168" fontId="16" fillId="30" borderId="3" xfId="0" applyNumberFormat="1" applyFont="1" applyFill="1" applyBorder="1" applyAlignment="1">
      <alignment horizontal="center" vertical="center"/>
    </xf>
    <xf numFmtId="168" fontId="16" fillId="30" borderId="3" xfId="0" applyNumberFormat="1" applyFont="1" applyFill="1" applyBorder="1" applyAlignment="1">
      <alignment horizontal="center" vertical="center" wrapText="1"/>
    </xf>
    <xf numFmtId="0" fontId="17" fillId="30" borderId="3" xfId="0" applyFont="1" applyFill="1" applyBorder="1"/>
    <xf numFmtId="0" fontId="17" fillId="30" borderId="3" xfId="0" applyFont="1" applyFill="1" applyBorder="1" applyAlignment="1">
      <alignment horizontal="center" vertical="center"/>
    </xf>
    <xf numFmtId="0" fontId="17" fillId="30" borderId="3" xfId="0" applyFont="1" applyFill="1" applyBorder="1" applyAlignment="1">
      <alignment horizontal="center" vertical="center" wrapText="1"/>
    </xf>
    <xf numFmtId="0" fontId="0" fillId="30" borderId="3" xfId="0" applyFill="1" applyBorder="1" applyAlignment="1">
      <alignment horizontal="center" vertical="center" wrapText="1"/>
    </xf>
    <xf numFmtId="0" fontId="0" fillId="30" borderId="3" xfId="0" applyFill="1" applyBorder="1" applyAlignment="1">
      <alignment horizontal="center" vertical="center"/>
    </xf>
    <xf numFmtId="0" fontId="19" fillId="30" borderId="3" xfId="0" applyFont="1" applyFill="1" applyBorder="1" applyAlignment="1">
      <alignment horizontal="center" vertical="center" wrapText="1"/>
    </xf>
    <xf numFmtId="0" fontId="0" fillId="30" borderId="0" xfId="0" applyFill="1" applyBorder="1"/>
    <xf numFmtId="169" fontId="4" fillId="30" borderId="3" xfId="0" applyNumberFormat="1" applyFont="1" applyFill="1" applyBorder="1" applyAlignment="1">
      <alignment horizontal="center" vertical="center" wrapText="1"/>
    </xf>
    <xf numFmtId="168" fontId="4" fillId="30" borderId="3" xfId="0" applyNumberFormat="1" applyFont="1" applyFill="1" applyBorder="1" applyAlignment="1">
      <alignment horizontal="center" vertical="center" wrapText="1"/>
    </xf>
    <xf numFmtId="0" fontId="4" fillId="30" borderId="3" xfId="0" applyFont="1" applyFill="1" applyBorder="1" applyAlignment="1">
      <alignment horizontal="center" vertical="center"/>
    </xf>
    <xf numFmtId="0" fontId="17" fillId="30" borderId="0" xfId="363" applyFont="1" applyFill="1" applyAlignment="1">
      <alignment vertical="center"/>
    </xf>
    <xf numFmtId="0" fontId="4" fillId="30" borderId="6" xfId="0" applyFont="1" applyFill="1" applyBorder="1" applyAlignment="1">
      <alignment horizontal="center" vertical="center"/>
    </xf>
    <xf numFmtId="0" fontId="4" fillId="30" borderId="3" xfId="0" applyFont="1" applyFill="1" applyBorder="1" applyAlignment="1">
      <alignment horizontal="left" vertical="center" wrapText="1"/>
    </xf>
    <xf numFmtId="0" fontId="0" fillId="30" borderId="0" xfId="0" applyFill="1" applyBorder="1" applyAlignment="1">
      <alignment horizontal="center" vertical="center"/>
    </xf>
    <xf numFmtId="0" fontId="4" fillId="30" borderId="6" xfId="0" applyNumberFormat="1" applyFont="1" applyFill="1" applyBorder="1" applyAlignment="1">
      <alignment horizontal="center" vertical="center"/>
    </xf>
    <xf numFmtId="14" fontId="4" fillId="30" borderId="6" xfId="0" applyNumberFormat="1" applyFont="1" applyFill="1" applyBorder="1" applyAlignment="1">
      <alignment horizontal="center" vertical="center"/>
    </xf>
    <xf numFmtId="0" fontId="7" fillId="30" borderId="3" xfId="363" applyFont="1" applyFill="1" applyBorder="1" applyAlignment="1">
      <alignment horizontal="left" vertical="center" wrapText="1"/>
    </xf>
    <xf numFmtId="0" fontId="4" fillId="30" borderId="6" xfId="0" applyFont="1" applyFill="1" applyBorder="1" applyAlignment="1">
      <alignment horizontal="center" vertical="center" wrapText="1"/>
    </xf>
    <xf numFmtId="14" fontId="4" fillId="30" borderId="3" xfId="0" applyNumberFormat="1" applyFont="1" applyFill="1" applyBorder="1" applyAlignment="1">
      <alignment horizontal="center" vertical="center" wrapText="1"/>
    </xf>
    <xf numFmtId="168" fontId="4" fillId="30" borderId="3" xfId="0" applyNumberFormat="1" applyFont="1" applyFill="1" applyBorder="1" applyAlignment="1">
      <alignment vertical="center" wrapText="1"/>
    </xf>
    <xf numFmtId="14" fontId="4" fillId="30" borderId="3" xfId="0" applyNumberFormat="1" applyFont="1" applyFill="1" applyBorder="1" applyAlignment="1">
      <alignment horizontal="left" vertical="center" wrapText="1"/>
    </xf>
    <xf numFmtId="0" fontId="18" fillId="30" borderId="3" xfId="0" applyFont="1" applyFill="1" applyBorder="1" applyAlignment="1">
      <alignment horizontal="center" vertical="center" wrapText="1"/>
    </xf>
    <xf numFmtId="0" fontId="17" fillId="30" borderId="3" xfId="363" applyFont="1" applyFill="1" applyBorder="1" applyAlignment="1">
      <alignment horizontal="left" vertical="center" wrapText="1"/>
    </xf>
    <xf numFmtId="14" fontId="4" fillId="30" borderId="3" xfId="0" applyNumberFormat="1" applyFont="1" applyFill="1" applyBorder="1" applyAlignment="1">
      <alignment horizontal="center" vertical="center"/>
    </xf>
    <xf numFmtId="0" fontId="14" fillId="30" borderId="3" xfId="0" applyFont="1" applyFill="1" applyBorder="1" applyAlignment="1">
      <alignment wrapText="1"/>
    </xf>
    <xf numFmtId="0" fontId="17" fillId="30" borderId="8" xfId="0" applyFont="1" applyFill="1" applyBorder="1" applyAlignment="1">
      <alignment horizontal="center" vertical="center"/>
    </xf>
    <xf numFmtId="0" fontId="4" fillId="30" borderId="3" xfId="0" applyFont="1" applyFill="1" applyBorder="1" applyAlignment="1">
      <alignment horizontal="left" vertical="center"/>
    </xf>
    <xf numFmtId="14" fontId="0" fillId="30" borderId="3" xfId="0" applyNumberFormat="1" applyFill="1" applyBorder="1" applyAlignment="1">
      <alignment horizontal="center" vertical="center" wrapText="1"/>
    </xf>
    <xf numFmtId="0" fontId="13" fillId="30" borderId="3" xfId="0" applyFont="1" applyFill="1" applyBorder="1" applyAlignment="1">
      <alignment horizontal="left" vertical="center" wrapText="1"/>
    </xf>
    <xf numFmtId="0" fontId="4" fillId="30" borderId="3" xfId="0" applyFont="1" applyFill="1" applyBorder="1" applyAlignment="1">
      <alignment horizontal="left" vertical="top" wrapText="1"/>
    </xf>
    <xf numFmtId="0" fontId="0" fillId="30" borderId="0" xfId="0" applyFill="1"/>
    <xf numFmtId="0" fontId="46" fillId="3" borderId="0" xfId="0" applyFont="1" applyFill="1" applyAlignment="1">
      <alignment wrapText="1"/>
    </xf>
    <xf numFmtId="4" fontId="47" fillId="3" borderId="19" xfId="0" applyNumberFormat="1" applyFont="1" applyFill="1" applyBorder="1" applyAlignment="1">
      <alignment horizontal="center" vertical="center" wrapText="1"/>
    </xf>
    <xf numFmtId="0" fontId="27" fillId="3" borderId="0" xfId="0" applyFont="1" applyFill="1" applyAlignment="1">
      <alignment wrapText="1"/>
    </xf>
    <xf numFmtId="0" fontId="3" fillId="5" borderId="3" xfId="0" applyFont="1" applyFill="1" applyBorder="1" applyAlignment="1">
      <alignment horizontal="center" vertical="center" wrapText="1"/>
    </xf>
    <xf numFmtId="0" fontId="0" fillId="3" borderId="0" xfId="0" applyFill="1"/>
    <xf numFmtId="0" fontId="0" fillId="3" borderId="0" xfId="0" applyFill="1" applyAlignment="1">
      <alignment wrapText="1"/>
    </xf>
    <xf numFmtId="49" fontId="1" fillId="31" borderId="4" xfId="0" applyNumberFormat="1" applyFont="1" applyFill="1" applyBorder="1" applyAlignment="1">
      <alignment horizontal="left"/>
    </xf>
    <xf numFmtId="49" fontId="1" fillId="31" borderId="27" xfId="0" applyNumberFormat="1" applyFont="1" applyFill="1" applyBorder="1" applyAlignment="1">
      <alignment horizontal="left"/>
    </xf>
    <xf numFmtId="0" fontId="25" fillId="31" borderId="3" xfId="0" applyFont="1" applyFill="1" applyBorder="1" applyAlignment="1">
      <alignment horizontal="center" vertical="center" wrapText="1"/>
    </xf>
    <xf numFmtId="0" fontId="1" fillId="31" borderId="4" xfId="0" applyFont="1" applyFill="1" applyBorder="1" applyAlignment="1">
      <alignment horizontal="left"/>
    </xf>
    <xf numFmtId="14" fontId="1" fillId="31" borderId="4" xfId="0" applyNumberFormat="1" applyFont="1" applyFill="1" applyBorder="1" applyAlignment="1">
      <alignment horizontal="left"/>
    </xf>
    <xf numFmtId="4" fontId="1" fillId="31" borderId="4" xfId="0" applyNumberFormat="1" applyFont="1" applyFill="1" applyBorder="1" applyAlignment="1">
      <alignment horizontal="center"/>
    </xf>
    <xf numFmtId="0" fontId="44" fillId="31" borderId="28" xfId="0" applyFont="1" applyFill="1" applyBorder="1" applyAlignment="1">
      <alignment wrapText="1"/>
    </xf>
    <xf numFmtId="49" fontId="1" fillId="31" borderId="4" xfId="0" applyNumberFormat="1" applyFont="1" applyFill="1" applyBorder="1" applyAlignment="1">
      <alignment horizontal="left" wrapText="1"/>
    </xf>
    <xf numFmtId="0" fontId="4" fillId="2" borderId="15"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0" fillId="2" borderId="8" xfId="0" applyFill="1" applyBorder="1" applyAlignment="1">
      <alignment horizontal="center" vertical="center" wrapText="1"/>
    </xf>
    <xf numFmtId="0" fontId="0" fillId="0" borderId="3" xfId="0" applyFill="1" applyBorder="1" applyAlignment="1">
      <alignment horizontal="center"/>
    </xf>
    <xf numFmtId="169" fontId="4" fillId="3" borderId="1" xfId="0" applyNumberFormat="1" applyFont="1" applyFill="1" applyBorder="1" applyAlignment="1">
      <alignment horizontal="center" vertical="center" wrapText="1"/>
    </xf>
    <xf numFmtId="4" fontId="4" fillId="3" borderId="1" xfId="0" applyNumberFormat="1" applyFont="1" applyFill="1" applyBorder="1" applyAlignment="1">
      <alignment horizontal="center" vertical="center" wrapText="1"/>
    </xf>
    <xf numFmtId="0" fontId="0" fillId="3" borderId="3" xfId="0" applyFill="1" applyBorder="1" applyAlignment="1">
      <alignment horizontal="center"/>
    </xf>
    <xf numFmtId="0" fontId="4" fillId="3" borderId="15" xfId="0" applyFont="1" applyFill="1" applyBorder="1" applyAlignment="1">
      <alignment horizontal="center" vertical="center" wrapText="1"/>
    </xf>
    <xf numFmtId="168" fontId="16" fillId="3" borderId="3" xfId="0" applyNumberFormat="1" applyFont="1" applyFill="1" applyBorder="1" applyAlignment="1">
      <alignment horizontal="center" vertical="center"/>
    </xf>
    <xf numFmtId="1" fontId="4" fillId="3" borderId="3" xfId="0" applyNumberFormat="1" applyFont="1" applyFill="1" applyBorder="1" applyAlignment="1">
      <alignment horizontal="center" vertical="center"/>
    </xf>
    <xf numFmtId="0" fontId="16" fillId="3" borderId="3" xfId="363" applyFont="1" applyFill="1" applyBorder="1" applyAlignment="1">
      <alignment horizontal="center" vertical="center"/>
    </xf>
    <xf numFmtId="4" fontId="4" fillId="3" borderId="3" xfId="0" applyNumberFormat="1" applyFont="1" applyFill="1" applyBorder="1" applyAlignment="1">
      <alignment horizontal="center" vertical="center"/>
    </xf>
    <xf numFmtId="0" fontId="0" fillId="3" borderId="3" xfId="0" applyFont="1" applyFill="1" applyBorder="1" applyAlignment="1">
      <alignment horizontal="center"/>
    </xf>
    <xf numFmtId="4" fontId="4" fillId="3" borderId="3" xfId="0" applyNumberFormat="1" applyFont="1" applyFill="1" applyBorder="1" applyAlignment="1">
      <alignment horizontal="right" vertical="center"/>
    </xf>
    <xf numFmtId="0" fontId="0" fillId="3" borderId="0" xfId="0" applyFont="1" applyFill="1"/>
    <xf numFmtId="2" fontId="4" fillId="3" borderId="3" xfId="0" applyNumberFormat="1" applyFont="1" applyFill="1" applyBorder="1" applyAlignment="1">
      <alignment horizontal="center" vertical="center"/>
    </xf>
    <xf numFmtId="0" fontId="0" fillId="3" borderId="3" xfId="0" applyFont="1" applyFill="1" applyBorder="1"/>
    <xf numFmtId="168" fontId="0" fillId="3" borderId="3" xfId="0" applyNumberFormat="1" applyFont="1" applyFill="1" applyBorder="1" applyAlignment="1">
      <alignment horizontal="center" vertical="center"/>
    </xf>
    <xf numFmtId="0" fontId="0" fillId="3" borderId="8" xfId="0" applyFill="1" applyBorder="1" applyAlignment="1">
      <alignment horizontal="center" vertical="center" wrapText="1"/>
    </xf>
    <xf numFmtId="14" fontId="0" fillId="3" borderId="3" xfId="0" applyNumberFormat="1" applyFill="1" applyBorder="1" applyAlignment="1">
      <alignment horizontal="center" vertical="center"/>
    </xf>
    <xf numFmtId="0" fontId="0" fillId="3" borderId="3" xfId="0" applyFill="1" applyBorder="1" applyAlignment="1">
      <alignment horizontal="left" vertical="center"/>
    </xf>
    <xf numFmtId="4" fontId="0" fillId="3" borderId="3" xfId="0" applyNumberFormat="1" applyFill="1" applyBorder="1" applyAlignment="1">
      <alignment horizontal="center" vertical="center"/>
    </xf>
    <xf numFmtId="0" fontId="17" fillId="3" borderId="3" xfId="363" applyFont="1" applyFill="1" applyBorder="1" applyAlignment="1">
      <alignment horizontal="center" vertical="center"/>
    </xf>
    <xf numFmtId="0" fontId="0" fillId="2" borderId="3" xfId="0" applyFont="1" applyFill="1" applyBorder="1" applyAlignment="1">
      <alignment horizontal="center" wrapText="1"/>
    </xf>
    <xf numFmtId="0" fontId="0" fillId="0" borderId="3" xfId="0" applyFont="1" applyBorder="1" applyAlignment="1">
      <alignment horizontal="center"/>
    </xf>
    <xf numFmtId="0" fontId="27" fillId="0" borderId="3" xfId="0" applyFont="1" applyFill="1" applyBorder="1" applyAlignment="1">
      <alignment horizontal="center" vertical="center" wrapText="1"/>
    </xf>
    <xf numFmtId="0" fontId="17" fillId="34" borderId="3" xfId="0" applyFont="1" applyFill="1" applyBorder="1" applyAlignment="1">
      <alignment horizontal="center" vertical="center" wrapText="1"/>
    </xf>
    <xf numFmtId="0" fontId="0" fillId="0" borderId="0" xfId="0" applyFont="1" applyFill="1" applyBorder="1" applyAlignment="1">
      <alignment wrapText="1"/>
    </xf>
    <xf numFmtId="0" fontId="3" fillId="0" borderId="3" xfId="0" applyFont="1" applyFill="1" applyBorder="1" applyAlignment="1">
      <alignment horizontal="left" wrapText="1"/>
    </xf>
    <xf numFmtId="0" fontId="23" fillId="33"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27" fillId="0" borderId="3" xfId="0" applyFont="1" applyFill="1" applyBorder="1" applyAlignment="1">
      <alignment vertical="center" wrapText="1"/>
    </xf>
    <xf numFmtId="0" fontId="11" fillId="0" borderId="3" xfId="363" applyFill="1" applyBorder="1" applyAlignment="1">
      <alignment horizontal="left" vertical="center" wrapText="1"/>
    </xf>
    <xf numFmtId="0" fontId="0" fillId="0" borderId="3" xfId="0" applyFont="1" applyFill="1" applyBorder="1" applyAlignment="1">
      <alignment wrapText="1"/>
    </xf>
    <xf numFmtId="4" fontId="27" fillId="0" borderId="3" xfId="0" applyNumberFormat="1" applyFont="1" applyFill="1" applyBorder="1" applyAlignment="1">
      <alignment vertical="center" wrapText="1"/>
    </xf>
    <xf numFmtId="0" fontId="37" fillId="0" borderId="3" xfId="0" applyFont="1" applyFill="1" applyBorder="1" applyAlignment="1">
      <alignment horizontal="left" vertical="center" wrapText="1"/>
    </xf>
    <xf numFmtId="0" fontId="7" fillId="0" borderId="3" xfId="363" applyFont="1" applyFill="1" applyBorder="1" applyAlignment="1">
      <alignment horizontal="left" vertical="center" wrapText="1"/>
    </xf>
    <xf numFmtId="0" fontId="17" fillId="0" borderId="3" xfId="363" applyFont="1" applyFill="1" applyBorder="1" applyAlignment="1">
      <alignment wrapText="1"/>
    </xf>
    <xf numFmtId="0" fontId="17" fillId="0" borderId="3" xfId="363" applyFont="1" applyFill="1" applyBorder="1" applyAlignment="1">
      <alignment horizontal="left" wrapText="1"/>
    </xf>
    <xf numFmtId="14" fontId="4" fillId="0" borderId="3" xfId="0" applyNumberFormat="1" applyFont="1" applyFill="1" applyBorder="1" applyAlignment="1">
      <alignment horizontal="left" vertical="center" wrapText="1"/>
    </xf>
    <xf numFmtId="4" fontId="4" fillId="0" borderId="3" xfId="0" applyNumberFormat="1" applyFont="1" applyFill="1" applyBorder="1" applyAlignment="1">
      <alignment horizontal="left" vertical="center" wrapText="1"/>
    </xf>
    <xf numFmtId="0" fontId="12" fillId="0" borderId="3" xfId="0" applyFont="1" applyFill="1" applyBorder="1" applyAlignment="1">
      <alignment horizontal="center" vertical="center" wrapText="1"/>
    </xf>
    <xf numFmtId="49" fontId="12" fillId="0" borderId="3" xfId="0" applyNumberFormat="1" applyFont="1" applyFill="1" applyBorder="1" applyAlignment="1">
      <alignment horizontal="center" vertical="center" wrapText="1"/>
    </xf>
    <xf numFmtId="0" fontId="13" fillId="0" borderId="3" xfId="0" applyFont="1" applyFill="1" applyBorder="1" applyAlignment="1">
      <alignment horizontal="left" vertical="center" wrapText="1"/>
    </xf>
    <xf numFmtId="168" fontId="4" fillId="0" borderId="3" xfId="0" applyNumberFormat="1" applyFont="1" applyFill="1" applyBorder="1" applyAlignment="1">
      <alignment horizontal="left" vertical="center" wrapText="1"/>
    </xf>
    <xf numFmtId="0" fontId="14" fillId="0" borderId="3" xfId="0" applyFont="1" applyFill="1" applyBorder="1" applyAlignment="1">
      <alignment vertical="center" wrapText="1"/>
    </xf>
    <xf numFmtId="0" fontId="4" fillId="0" borderId="3" xfId="0" applyFont="1" applyFill="1" applyBorder="1" applyAlignment="1">
      <alignment horizontal="left" vertical="top" wrapText="1"/>
    </xf>
    <xf numFmtId="0" fontId="36" fillId="0" borderId="3" xfId="0" applyFont="1" applyFill="1" applyBorder="1" applyAlignment="1">
      <alignment horizontal="left" vertical="top" wrapText="1"/>
    </xf>
    <xf numFmtId="0" fontId="16" fillId="0" borderId="3" xfId="0" applyFont="1" applyFill="1" applyBorder="1" applyAlignment="1">
      <alignment horizontal="center" vertical="center" wrapText="1"/>
    </xf>
    <xf numFmtId="168" fontId="0" fillId="0" borderId="3" xfId="0" applyNumberFormat="1" applyFill="1" applyBorder="1" applyAlignment="1">
      <alignment horizontal="center" vertical="center" wrapText="1"/>
    </xf>
    <xf numFmtId="0" fontId="14" fillId="0" borderId="3" xfId="0" applyFont="1" applyFill="1" applyBorder="1" applyAlignment="1">
      <alignment wrapText="1"/>
    </xf>
    <xf numFmtId="0" fontId="12" fillId="0" borderId="3" xfId="0" applyFont="1" applyFill="1" applyBorder="1" applyAlignment="1">
      <alignment horizontal="left" vertical="center" wrapText="1"/>
    </xf>
    <xf numFmtId="168" fontId="16" fillId="0" borderId="3" xfId="0" applyNumberFormat="1" applyFont="1" applyFill="1" applyBorder="1" applyAlignment="1">
      <alignment horizontal="center" vertical="center" wrapText="1"/>
    </xf>
    <xf numFmtId="14" fontId="0" fillId="0" borderId="3" xfId="0" applyNumberFormat="1" applyFill="1" applyBorder="1" applyAlignment="1">
      <alignment horizontal="center" vertical="center" wrapText="1"/>
    </xf>
    <xf numFmtId="0" fontId="25" fillId="0" borderId="3" xfId="0" applyFont="1" applyFill="1" applyBorder="1" applyAlignment="1">
      <alignment horizontal="center" vertical="center" wrapText="1"/>
    </xf>
    <xf numFmtId="0" fontId="0" fillId="0" borderId="3" xfId="363" applyFont="1" applyFill="1" applyBorder="1" applyAlignment="1">
      <alignment horizontal="left" vertical="center" wrapText="1"/>
    </xf>
    <xf numFmtId="0" fontId="34" fillId="0" borderId="3" xfId="0" applyFont="1" applyFill="1" applyBorder="1" applyAlignment="1">
      <alignment horizontal="center" vertical="center" wrapText="1"/>
    </xf>
    <xf numFmtId="4" fontId="4" fillId="0" borderId="3" xfId="0" applyNumberFormat="1" applyFont="1" applyFill="1" applyBorder="1" applyAlignment="1">
      <alignment horizontal="center" vertical="center" wrapText="1"/>
    </xf>
    <xf numFmtId="9" fontId="4" fillId="0" borderId="3" xfId="0" applyNumberFormat="1" applyFont="1" applyFill="1" applyBorder="1" applyAlignment="1">
      <alignment horizontal="left" vertical="center" wrapText="1"/>
    </xf>
    <xf numFmtId="0" fontId="16" fillId="2" borderId="3" xfId="0" applyNumberFormat="1" applyFont="1" applyFill="1" applyBorder="1" applyAlignment="1">
      <alignment horizontal="center" vertical="center" wrapText="1"/>
    </xf>
    <xf numFmtId="0" fontId="16" fillId="2" borderId="3" xfId="0" applyNumberFormat="1" applyFont="1" applyFill="1" applyBorder="1" applyAlignment="1">
      <alignment horizontal="left" vertical="center" wrapText="1"/>
    </xf>
    <xf numFmtId="14" fontId="16" fillId="2" borderId="3" xfId="0" applyNumberFormat="1" applyFont="1" applyFill="1" applyBorder="1" applyAlignment="1">
      <alignment horizontal="center" vertical="center" wrapText="1"/>
    </xf>
    <xf numFmtId="4" fontId="16" fillId="2" borderId="3" xfId="0" applyNumberFormat="1" applyFont="1" applyFill="1" applyBorder="1" applyAlignment="1">
      <alignment horizontal="center" vertical="center" wrapText="1"/>
    </xf>
    <xf numFmtId="4" fontId="16" fillId="2" borderId="3" xfId="0" applyNumberFormat="1" applyFont="1" applyFill="1" applyBorder="1" applyAlignment="1">
      <alignment horizontal="right" vertical="center" wrapText="1"/>
    </xf>
    <xf numFmtId="0" fontId="4" fillId="0" borderId="3" xfId="0" applyFont="1" applyFill="1" applyBorder="1" applyAlignment="1">
      <alignment vertical="center" wrapText="1"/>
    </xf>
    <xf numFmtId="0" fontId="13" fillId="0" borderId="3" xfId="363" applyFont="1" applyFill="1" applyBorder="1" applyAlignment="1">
      <alignment horizontal="left" vertical="center" wrapText="1"/>
    </xf>
    <xf numFmtId="0" fontId="4" fillId="0" borderId="3" xfId="0" applyFont="1" applyFill="1" applyBorder="1" applyAlignment="1">
      <alignment horizontal="center" wrapText="1"/>
    </xf>
    <xf numFmtId="0" fontId="33" fillId="0" borderId="3"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0" fillId="0" borderId="3" xfId="0" applyFont="1" applyBorder="1" applyAlignment="1">
      <alignment horizontal="center" vertical="center" wrapText="1"/>
    </xf>
    <xf numFmtId="0" fontId="0" fillId="0" borderId="3" xfId="0" applyFont="1" applyFill="1" applyBorder="1" applyAlignment="1">
      <alignment horizontal="center" wrapText="1"/>
    </xf>
    <xf numFmtId="168" fontId="0" fillId="0" borderId="3" xfId="0" applyNumberFormat="1" applyFont="1" applyFill="1" applyBorder="1" applyAlignment="1">
      <alignment horizontal="center" vertical="center" wrapText="1"/>
    </xf>
    <xf numFmtId="168" fontId="17" fillId="0" borderId="3" xfId="0" applyNumberFormat="1" applyFont="1" applyFill="1" applyBorder="1" applyAlignment="1">
      <alignment horizontal="center" vertical="center" wrapText="1"/>
    </xf>
    <xf numFmtId="0" fontId="31" fillId="0" borderId="3" xfId="0" applyFont="1" applyFill="1" applyBorder="1" applyAlignment="1">
      <alignment horizontal="center" vertical="center" wrapText="1"/>
    </xf>
    <xf numFmtId="0" fontId="17" fillId="0" borderId="3" xfId="363" applyFont="1" applyFill="1" applyBorder="1" applyAlignment="1">
      <alignment vertical="center" wrapText="1"/>
    </xf>
    <xf numFmtId="0" fontId="20" fillId="0" borderId="3" xfId="363" applyFont="1" applyFill="1" applyBorder="1" applyAlignment="1">
      <alignment vertical="center" wrapText="1"/>
    </xf>
    <xf numFmtId="14" fontId="12" fillId="0" borderId="3" xfId="0" applyNumberFormat="1" applyFont="1" applyFill="1" applyBorder="1" applyAlignment="1">
      <alignment horizontal="center" vertical="center" wrapText="1"/>
    </xf>
    <xf numFmtId="4" fontId="0" fillId="0" borderId="3" xfId="0" applyNumberFormat="1" applyFill="1" applyBorder="1" applyAlignment="1">
      <alignment horizontal="center" vertical="center" wrapText="1"/>
    </xf>
    <xf numFmtId="0" fontId="20" fillId="0" borderId="3" xfId="363" applyFont="1" applyFill="1" applyBorder="1" applyAlignment="1">
      <alignment horizontal="center" vertical="center" wrapText="1"/>
    </xf>
    <xf numFmtId="0" fontId="0" fillId="0" borderId="3" xfId="0" applyFill="1" applyBorder="1" applyAlignment="1">
      <alignment horizontal="center" wrapText="1"/>
    </xf>
    <xf numFmtId="0" fontId="17" fillId="0" borderId="3" xfId="0" applyFont="1" applyFill="1" applyBorder="1" applyAlignment="1">
      <alignment wrapText="1"/>
    </xf>
    <xf numFmtId="0" fontId="0" fillId="0" borderId="3" xfId="0" applyFill="1" applyBorder="1" applyAlignment="1">
      <alignment wrapText="1"/>
    </xf>
    <xf numFmtId="168" fontId="17" fillId="3" borderId="3" xfId="0" applyNumberFormat="1" applyFont="1" applyFill="1" applyBorder="1" applyAlignment="1">
      <alignment horizontal="center" vertical="center" wrapText="1"/>
    </xf>
    <xf numFmtId="0" fontId="4" fillId="0" borderId="0" xfId="0" applyFont="1" applyFill="1" applyAlignment="1">
      <alignment horizontal="center" vertical="center"/>
    </xf>
    <xf numFmtId="0" fontId="15" fillId="6" borderId="3" xfId="0" applyFont="1" applyFill="1" applyBorder="1" applyAlignment="1">
      <alignment horizontal="center" vertical="center" wrapText="1"/>
    </xf>
    <xf numFmtId="0" fontId="17" fillId="37" borderId="3" xfId="0" applyFont="1" applyFill="1" applyBorder="1" applyAlignment="1">
      <alignment horizontal="center" vertical="center" wrapText="1"/>
    </xf>
    <xf numFmtId="0" fontId="17" fillId="35" borderId="3" xfId="0" applyFont="1" applyFill="1" applyBorder="1" applyAlignment="1">
      <alignment horizontal="center" vertical="center" wrapText="1"/>
    </xf>
    <xf numFmtId="0" fontId="17" fillId="36" borderId="3" xfId="0" applyFont="1" applyFill="1" applyBorder="1" applyAlignment="1">
      <alignment vertical="center" wrapText="1"/>
    </xf>
    <xf numFmtId="0" fontId="17" fillId="3" borderId="3" xfId="0" applyFont="1" applyFill="1" applyBorder="1" applyAlignment="1">
      <alignment wrapText="1"/>
    </xf>
    <xf numFmtId="0" fontId="17" fillId="0" borderId="0" xfId="0" applyFont="1" applyFill="1" applyBorder="1"/>
    <xf numFmtId="0" fontId="17" fillId="27" borderId="3" xfId="0" applyFont="1" applyFill="1" applyBorder="1" applyAlignment="1">
      <alignment vertical="center" wrapText="1"/>
    </xf>
    <xf numFmtId="0" fontId="4" fillId="0" borderId="3" xfId="0" applyFont="1" applyFill="1" applyBorder="1" applyAlignment="1">
      <alignment horizontal="center" vertical="center" wrapText="1"/>
    </xf>
    <xf numFmtId="0" fontId="17" fillId="35" borderId="3" xfId="0" applyFont="1" applyFill="1" applyBorder="1" applyAlignment="1">
      <alignment horizontal="left" vertical="center" wrapText="1"/>
    </xf>
    <xf numFmtId="0" fontId="17" fillId="3"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30" borderId="1" xfId="0" applyFont="1" applyFill="1" applyBorder="1" applyAlignment="1">
      <alignment horizontal="center" vertical="center" wrapText="1"/>
    </xf>
    <xf numFmtId="14" fontId="4" fillId="30" borderId="1" xfId="0" applyNumberFormat="1" applyFont="1" applyFill="1" applyBorder="1" applyAlignment="1">
      <alignment horizontal="center" vertical="center"/>
    </xf>
    <xf numFmtId="0" fontId="4" fillId="30" borderId="1" xfId="0" applyFont="1" applyFill="1" applyBorder="1" applyAlignment="1">
      <alignment horizontal="left" vertical="center" wrapText="1"/>
    </xf>
    <xf numFmtId="168" fontId="4" fillId="30" borderId="1" xfId="0" applyNumberFormat="1" applyFont="1" applyFill="1" applyBorder="1" applyAlignment="1">
      <alignment horizontal="center" vertical="center"/>
    </xf>
    <xf numFmtId="0" fontId="17" fillId="30" borderId="6" xfId="0" applyFont="1" applyFill="1" applyBorder="1" applyAlignment="1">
      <alignment horizontal="center" vertical="center"/>
    </xf>
    <xf numFmtId="0" fontId="0" fillId="30" borderId="0" xfId="0" applyFill="1" applyAlignment="1">
      <alignment horizontal="center" vertical="center"/>
    </xf>
    <xf numFmtId="0" fontId="0" fillId="30" borderId="3" xfId="363" applyFont="1" applyFill="1" applyBorder="1" applyAlignment="1">
      <alignment horizontal="left" vertical="center" wrapText="1"/>
    </xf>
    <xf numFmtId="0" fontId="26" fillId="32" borderId="3" xfId="0" applyFont="1" applyFill="1" applyBorder="1" applyAlignment="1">
      <alignment horizontal="center" vertical="center" wrapText="1"/>
    </xf>
    <xf numFmtId="0" fontId="17" fillId="34" borderId="3" xfId="0" applyFont="1" applyFill="1" applyBorder="1" applyAlignment="1">
      <alignment horizontal="left" vertical="center" wrapText="1"/>
    </xf>
    <xf numFmtId="0" fontId="17" fillId="37" borderId="3" xfId="0" applyFont="1" applyFill="1" applyBorder="1" applyAlignment="1">
      <alignment horizontal="left" vertical="center" wrapText="1"/>
    </xf>
    <xf numFmtId="0" fontId="17" fillId="27" borderId="3" xfId="0" applyFont="1" applyFill="1" applyBorder="1" applyAlignment="1">
      <alignment horizontal="left" vertical="center" wrapText="1"/>
    </xf>
    <xf numFmtId="0" fontId="17" fillId="36" borderId="3" xfId="0" applyFont="1" applyFill="1" applyBorder="1" applyAlignment="1">
      <alignment horizontal="left" vertical="center" wrapText="1"/>
    </xf>
    <xf numFmtId="0" fontId="0" fillId="6" borderId="0" xfId="0" applyFont="1" applyFill="1"/>
    <xf numFmtId="0" fontId="0" fillId="6" borderId="0" xfId="0" applyFill="1" applyBorder="1" applyAlignment="1">
      <alignment horizontal="center" vertical="center"/>
    </xf>
    <xf numFmtId="0" fontId="0" fillId="6" borderId="0" xfId="0" applyFill="1" applyAlignment="1">
      <alignment horizontal="center" vertical="center"/>
    </xf>
    <xf numFmtId="168" fontId="4" fillId="0" borderId="0" xfId="0" applyNumberFormat="1" applyFont="1" applyFill="1" applyBorder="1" applyAlignment="1">
      <alignment horizontal="center" vertical="center" wrapText="1"/>
    </xf>
    <xf numFmtId="0" fontId="3" fillId="2" borderId="9"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3" xfId="0" applyFont="1" applyFill="1" applyBorder="1" applyAlignment="1">
      <alignment horizontal="center" vertical="center"/>
    </xf>
    <xf numFmtId="0" fontId="5" fillId="2"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14" xfId="0" applyNumberFormat="1" applyFont="1" applyFill="1" applyBorder="1" applyAlignment="1">
      <alignment horizontal="center" vertical="center" wrapText="1"/>
    </xf>
    <xf numFmtId="14" fontId="5" fillId="2" borderId="11" xfId="0" applyNumberFormat="1" applyFont="1" applyFill="1" applyBorder="1" applyAlignment="1">
      <alignment horizontal="center" vertical="center" wrapText="1"/>
    </xf>
    <xf numFmtId="14" fontId="5" fillId="2" borderId="13" xfId="0" applyNumberFormat="1" applyFont="1" applyFill="1" applyBorder="1" applyAlignment="1">
      <alignment horizontal="center" vertical="center" wrapText="1"/>
    </xf>
    <xf numFmtId="0" fontId="5" fillId="2" borderId="11" xfId="0" applyNumberFormat="1" applyFont="1" applyFill="1" applyBorder="1" applyAlignment="1">
      <alignment horizontal="center" vertical="center" wrapText="1"/>
    </xf>
    <xf numFmtId="0" fontId="5" fillId="2" borderId="13" xfId="0" applyNumberFormat="1" applyFont="1" applyFill="1" applyBorder="1" applyAlignment="1">
      <alignment horizontal="center" vertical="center" wrapText="1"/>
    </xf>
    <xf numFmtId="168" fontId="5" fillId="2" borderId="11" xfId="0" applyNumberFormat="1" applyFont="1" applyFill="1" applyBorder="1" applyAlignment="1">
      <alignment horizontal="center" vertical="center" wrapText="1"/>
    </xf>
    <xf numFmtId="168" fontId="5" fillId="2" borderId="13" xfId="0" applyNumberFormat="1" applyFont="1" applyFill="1" applyBorder="1" applyAlignment="1">
      <alignment horizontal="center" vertical="center" wrapText="1"/>
    </xf>
    <xf numFmtId="166" fontId="5" fillId="2" borderId="11" xfId="0" applyNumberFormat="1" applyFont="1" applyFill="1" applyBorder="1" applyAlignment="1">
      <alignment horizontal="center" vertical="center" wrapText="1"/>
    </xf>
    <xf numFmtId="166" fontId="5" fillId="2" borderId="13" xfId="0" applyNumberFormat="1" applyFont="1" applyFill="1" applyBorder="1" applyAlignment="1">
      <alignment horizontal="center" vertical="center" wrapText="1"/>
    </xf>
    <xf numFmtId="0" fontId="5" fillId="2" borderId="20" xfId="0" applyNumberFormat="1" applyFont="1" applyFill="1" applyBorder="1" applyAlignment="1">
      <alignment horizontal="center" vertical="center" wrapText="1"/>
    </xf>
    <xf numFmtId="0" fontId="5" fillId="2" borderId="21" xfId="0" applyNumberFormat="1" applyFont="1" applyFill="1" applyBorder="1" applyAlignment="1">
      <alignment horizontal="center" vertical="center" wrapText="1"/>
    </xf>
    <xf numFmtId="0" fontId="5" fillId="2" borderId="10" xfId="0" applyNumberFormat="1" applyFont="1" applyFill="1" applyBorder="1" applyAlignment="1">
      <alignment horizontal="center" vertical="center" wrapText="1"/>
    </xf>
    <xf numFmtId="0" fontId="5" fillId="2" borderId="12" xfId="0" applyNumberFormat="1" applyFont="1" applyFill="1" applyBorder="1" applyAlignment="1">
      <alignment horizontal="center" vertical="center" wrapText="1"/>
    </xf>
    <xf numFmtId="0" fontId="5" fillId="2" borderId="5" xfId="0" applyNumberFormat="1" applyFont="1" applyFill="1" applyBorder="1" applyAlignment="1">
      <alignment horizontal="center" vertical="center" wrapText="1"/>
    </xf>
    <xf numFmtId="0" fontId="5" fillId="2" borderId="17" xfId="0" applyNumberFormat="1" applyFont="1" applyFill="1" applyBorder="1" applyAlignment="1">
      <alignment horizontal="center" vertical="center" wrapText="1"/>
    </xf>
    <xf numFmtId="0" fontId="5" fillId="2" borderId="18" xfId="0" applyNumberFormat="1" applyFont="1" applyFill="1" applyBorder="1" applyAlignment="1">
      <alignment horizontal="center" vertical="center" wrapText="1"/>
    </xf>
    <xf numFmtId="49" fontId="38" fillId="0" borderId="0" xfId="0" applyNumberFormat="1" applyFont="1" applyFill="1" applyBorder="1" applyAlignment="1">
      <alignment horizontal="left" vertical="top"/>
    </xf>
    <xf numFmtId="0" fontId="40" fillId="0" borderId="0" xfId="0" applyFont="1" applyFill="1" applyBorder="1" applyAlignment="1">
      <alignment horizontal="center"/>
    </xf>
    <xf numFmtId="0" fontId="40" fillId="3" borderId="0" xfId="0" applyFont="1" applyFill="1" applyBorder="1" applyAlignment="1">
      <alignment horizontal="center"/>
    </xf>
    <xf numFmtId="0" fontId="4" fillId="0"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2" borderId="22" xfId="0" applyNumberFormat="1" applyFont="1" applyFill="1" applyBorder="1" applyAlignment="1">
      <alignment horizontal="center" vertical="center" wrapText="1"/>
    </xf>
    <xf numFmtId="0" fontId="5" fillId="2" borderId="23" xfId="0" applyNumberFormat="1" applyFont="1" applyFill="1" applyBorder="1" applyAlignment="1">
      <alignment horizontal="center" vertical="center" wrapText="1"/>
    </xf>
    <xf numFmtId="0" fontId="5" fillId="2" borderId="4"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0" borderId="3" xfId="0" applyFont="1" applyBorder="1" applyAlignment="1">
      <alignment horizontal="center" vertical="center" wrapText="1"/>
    </xf>
    <xf numFmtId="0" fontId="24" fillId="0" borderId="3" xfId="0" applyFont="1" applyBorder="1" applyAlignment="1">
      <alignment horizontal="center" vertical="center"/>
    </xf>
    <xf numFmtId="0" fontId="24" fillId="3" borderId="7" xfId="0" applyFont="1" applyFill="1" applyBorder="1" applyAlignment="1">
      <alignment horizontal="center" vertical="center"/>
    </xf>
    <xf numFmtId="0" fontId="24" fillId="0" borderId="16" xfId="0" applyFont="1" applyBorder="1" applyAlignment="1">
      <alignment horizontal="center" vertical="center"/>
    </xf>
    <xf numFmtId="168" fontId="5" fillId="2" borderId="11" xfId="0" applyNumberFormat="1" applyFont="1" applyFill="1" applyBorder="1" applyAlignment="1">
      <alignment horizontal="center" wrapText="1"/>
    </xf>
    <xf numFmtId="168" fontId="5" fillId="2" borderId="13" xfId="0" applyNumberFormat="1" applyFont="1" applyFill="1" applyBorder="1" applyAlignment="1">
      <alignment horizontal="center" wrapText="1"/>
    </xf>
    <xf numFmtId="0" fontId="0" fillId="27" borderId="0" xfId="0" applyFill="1"/>
    <xf numFmtId="0" fontId="0" fillId="27" borderId="0" xfId="0" applyFill="1" applyBorder="1" applyAlignment="1">
      <alignment horizontal="center" vertical="center"/>
    </xf>
    <xf numFmtId="0" fontId="0" fillId="27" borderId="0" xfId="0" applyFill="1" applyBorder="1" applyAlignment="1">
      <alignment horizontal="center" vertical="center" wrapText="1"/>
    </xf>
    <xf numFmtId="0" fontId="0" fillId="38" borderId="0" xfId="0" applyFill="1" applyAlignment="1">
      <alignment horizontal="center" vertical="center"/>
    </xf>
    <xf numFmtId="0" fontId="0" fillId="38" borderId="0" xfId="0" applyFill="1" applyBorder="1" applyAlignment="1">
      <alignment horizontal="center" vertical="center"/>
    </xf>
    <xf numFmtId="0" fontId="0" fillId="38" borderId="0" xfId="0" applyFill="1" applyBorder="1" applyAlignment="1">
      <alignment horizontal="center" vertical="center" wrapText="1"/>
    </xf>
    <xf numFmtId="0" fontId="0" fillId="39" borderId="0" xfId="0" applyFill="1" applyBorder="1" applyAlignment="1">
      <alignment horizontal="center" vertical="center"/>
    </xf>
    <xf numFmtId="0" fontId="0" fillId="39" borderId="0" xfId="0" applyFill="1" applyBorder="1"/>
    <xf numFmtId="0" fontId="0" fillId="39" borderId="0" xfId="0" applyFill="1" applyBorder="1" applyAlignment="1">
      <alignment horizontal="center" vertical="center" wrapText="1"/>
    </xf>
    <xf numFmtId="0" fontId="0" fillId="25" borderId="0" xfId="0" applyFill="1" applyBorder="1" applyAlignment="1">
      <alignment horizontal="center" vertical="center" wrapText="1"/>
    </xf>
    <xf numFmtId="0" fontId="0" fillId="25" borderId="0" xfId="0" applyFill="1" applyBorder="1"/>
    <xf numFmtId="0" fontId="0" fillId="25" borderId="0" xfId="0" applyFill="1" applyBorder="1" applyAlignment="1">
      <alignment horizontal="center" vertical="center"/>
    </xf>
  </cellXfs>
  <cellStyles count="382">
    <cellStyle name="20% - Акцент1" xfId="364"/>
    <cellStyle name="20% - Акцент2" xfId="365"/>
    <cellStyle name="20% - Акцент3" xfId="366"/>
    <cellStyle name="20% - Акцент4" xfId="367"/>
    <cellStyle name="20% - Акцент5" xfId="368"/>
    <cellStyle name="20% - Акцент6" xfId="369"/>
    <cellStyle name="40% - Акцент1" xfId="370"/>
    <cellStyle name="40% - Акцент2" xfId="371"/>
    <cellStyle name="40% - Акцент3" xfId="372"/>
    <cellStyle name="40% - Акцент4" xfId="373"/>
    <cellStyle name="40% - Акцент5" xfId="374"/>
    <cellStyle name="40% - Акцент6" xfId="375"/>
    <cellStyle name="60% - Акцент1" xfId="376"/>
    <cellStyle name="60% - Акцент2" xfId="377"/>
    <cellStyle name="60% - Акцент3" xfId="378"/>
    <cellStyle name="60% - Акцент4" xfId="379"/>
    <cellStyle name="60% - Акцент5" xfId="380"/>
    <cellStyle name="60% - Акцент6" xfId="381"/>
    <cellStyle name="Гиперссылка" xfId="363" builtinId="8"/>
    <cellStyle name="Гиперссылка 2" xfId="26"/>
    <cellStyle name="ИтогоБИМ" xfId="29"/>
    <cellStyle name="ЛокСмета" xfId="31"/>
    <cellStyle name="ЛокСмета 10" xfId="82"/>
    <cellStyle name="ЛокСмета 10 2" xfId="127"/>
    <cellStyle name="ЛокСмета 10 3" xfId="177"/>
    <cellStyle name="ЛокСмета 10 4" xfId="193"/>
    <cellStyle name="ЛокСмета 10 5" xfId="225"/>
    <cellStyle name="ЛокСмета 10 6" xfId="267"/>
    <cellStyle name="ЛокСмета 10 7" xfId="305"/>
    <cellStyle name="ЛокСмета 10 8" xfId="353"/>
    <cellStyle name="ЛокСмета 11" xfId="83"/>
    <cellStyle name="ЛокСмета 11 2" xfId="128"/>
    <cellStyle name="ЛокСмета 11 3" xfId="178"/>
    <cellStyle name="ЛокСмета 11 4" xfId="197"/>
    <cellStyle name="ЛокСмета 11 5" xfId="229"/>
    <cellStyle name="ЛокСмета 11 6" xfId="201"/>
    <cellStyle name="ЛокСмета 11 7" xfId="325"/>
    <cellStyle name="ЛокСмета 11 8" xfId="354"/>
    <cellStyle name="ЛокСмета 12" xfId="85"/>
    <cellStyle name="ЛокСмета 12 2" xfId="129"/>
    <cellStyle name="ЛокСмета 12 3" xfId="179"/>
    <cellStyle name="ЛокСмета 12 4" xfId="196"/>
    <cellStyle name="ЛокСмета 12 5" xfId="228"/>
    <cellStyle name="ЛокСмета 12 6" xfId="296"/>
    <cellStyle name="ЛокСмета 12 7" xfId="329"/>
    <cellStyle name="ЛокСмета 12 8" xfId="356"/>
    <cellStyle name="ЛокСмета 13" xfId="86"/>
    <cellStyle name="ЛокСмета 13 2" xfId="130"/>
    <cellStyle name="ЛокСмета 13 3" xfId="180"/>
    <cellStyle name="ЛокСмета 13 4" xfId="115"/>
    <cellStyle name="ЛокСмета 13 5" xfId="200"/>
    <cellStyle name="ЛокСмета 13 6" xfId="294"/>
    <cellStyle name="ЛокСмета 13 7" xfId="302"/>
    <cellStyle name="ЛокСмета 13 8" xfId="357"/>
    <cellStyle name="ЛокСмета 14" xfId="87"/>
    <cellStyle name="ЛокСмета 14 2" xfId="131"/>
    <cellStyle name="ЛокСмета 14 3" xfId="181"/>
    <cellStyle name="ЛокСмета 14 4" xfId="195"/>
    <cellStyle name="ЛокСмета 14 5" xfId="227"/>
    <cellStyle name="ЛокСмета 14 6" xfId="295"/>
    <cellStyle name="ЛокСмета 14 7" xfId="311"/>
    <cellStyle name="ЛокСмета 14 8" xfId="358"/>
    <cellStyle name="ЛокСмета 15" xfId="90"/>
    <cellStyle name="ЛокСмета 15 2" xfId="132"/>
    <cellStyle name="ЛокСмета 15 3" xfId="182"/>
    <cellStyle name="ЛокСмета 15 4" xfId="108"/>
    <cellStyle name="ЛокСмета 15 5" xfId="198"/>
    <cellStyle name="ЛокСмета 15 6" xfId="236"/>
    <cellStyle name="ЛокСмета 15 7" xfId="314"/>
    <cellStyle name="ЛокСмета 15 8" xfId="361"/>
    <cellStyle name="ЛокСмета 16" xfId="88"/>
    <cellStyle name="ЛокСмета 16 2" xfId="133"/>
    <cellStyle name="ЛокСмета 16 3" xfId="183"/>
    <cellStyle name="ЛокСмета 16 4" xfId="194"/>
    <cellStyle name="ЛокСмета 16 5" xfId="226"/>
    <cellStyle name="ЛокСмета 16 6" xfId="292"/>
    <cellStyle name="ЛокСмета 16 7" xfId="319"/>
    <cellStyle name="ЛокСмета 16 8" xfId="359"/>
    <cellStyle name="ЛокСмета 17" xfId="59"/>
    <cellStyle name="ЛокСмета 17 2" xfId="134"/>
    <cellStyle name="ЛокСмета 17 3" xfId="184"/>
    <cellStyle name="ЛокСмета 17 4" xfId="123"/>
    <cellStyle name="ЛокСмета 17 5" xfId="199"/>
    <cellStyle name="ЛокСмета 17 6" xfId="293"/>
    <cellStyle name="ЛокСмета 17 7" xfId="316"/>
    <cellStyle name="ЛокСмета 17 8" xfId="332"/>
    <cellStyle name="ЛокСмета 18" xfId="44"/>
    <cellStyle name="ЛокСмета 18 2" xfId="173"/>
    <cellStyle name="ЛокСмета 18 3" xfId="221"/>
    <cellStyle name="ЛокСмета 18 4" xfId="255"/>
    <cellStyle name="ЛокСмета 18 5" xfId="285"/>
    <cellStyle name="ЛокСмета 18 6" xfId="266"/>
    <cellStyle name="ЛокСмета 19" xfId="92"/>
    <cellStyle name="ЛокСмета 19 2" xfId="176"/>
    <cellStyle name="ЛокСмета 19 3" xfId="147"/>
    <cellStyle name="ЛокСмета 19 4" xfId="120"/>
    <cellStyle name="ЛокСмета 19 5" xfId="297"/>
    <cellStyle name="ЛокСмета 2" xfId="62"/>
    <cellStyle name="ЛокСмета 2 2" xfId="135"/>
    <cellStyle name="ЛокСмета 2 3" xfId="185"/>
    <cellStyle name="ЛокСмета 2 4" xfId="124"/>
    <cellStyle name="ЛокСмета 2 5" xfId="155"/>
    <cellStyle name="ЛокСмета 2 6" xfId="230"/>
    <cellStyle name="ЛокСмета 2 7" xfId="313"/>
    <cellStyle name="ЛокСмета 2 8" xfId="333"/>
    <cellStyle name="ЛокСмета 20" xfId="116"/>
    <cellStyle name="ЛокСмета 3" xfId="69"/>
    <cellStyle name="ЛокСмета 3 2" xfId="136"/>
    <cellStyle name="ЛокСмета 3 3" xfId="186"/>
    <cellStyle name="ЛокСмета 3 4" xfId="112"/>
    <cellStyle name="ЛокСмета 3 5" xfId="220"/>
    <cellStyle name="ЛокСмета 3 6" xfId="265"/>
    <cellStyle name="ЛокСмета 3 7" xfId="303"/>
    <cellStyle name="ЛокСмета 3 8" xfId="340"/>
    <cellStyle name="ЛокСмета 4" xfId="70"/>
    <cellStyle name="ЛокСмета 4 2" xfId="137"/>
    <cellStyle name="ЛокСмета 4 3" xfId="187"/>
    <cellStyle name="ЛокСмета 4 4" xfId="172"/>
    <cellStyle name="ЛокСмета 4 5" xfId="175"/>
    <cellStyle name="ЛокСмета 4 6" xfId="291"/>
    <cellStyle name="ЛокСмета 4 7" xfId="315"/>
    <cellStyle name="ЛокСмета 4 8" xfId="341"/>
    <cellStyle name="ЛокСмета 5" xfId="71"/>
    <cellStyle name="ЛокСмета 5 2" xfId="138"/>
    <cellStyle name="ЛокСмета 5 3" xfId="188"/>
    <cellStyle name="ЛокСмета 5 4" xfId="119"/>
    <cellStyle name="ЛокСмета 5 5" xfId="154"/>
    <cellStyle name="ЛокСмета 5 6" xfId="264"/>
    <cellStyle name="ЛокСмета 5 7" xfId="324"/>
    <cellStyle name="ЛокСмета 5 8" xfId="342"/>
    <cellStyle name="ЛокСмета 6" xfId="72"/>
    <cellStyle name="ЛокСмета 6 2" xfId="139"/>
    <cellStyle name="ЛокСмета 6 3" xfId="189"/>
    <cellStyle name="ЛокСмета 6 4" xfId="118"/>
    <cellStyle name="ЛокСмета 6 5" xfId="202"/>
    <cellStyle name="ЛокСмета 6 6" xfId="288"/>
    <cellStyle name="ЛокСмета 6 7" xfId="321"/>
    <cellStyle name="ЛокСмета 6 8" xfId="343"/>
    <cellStyle name="ЛокСмета 7" xfId="73"/>
    <cellStyle name="ЛокСмета 7 2" xfId="140"/>
    <cellStyle name="ЛокСмета 7 3" xfId="190"/>
    <cellStyle name="ЛокСмета 7 4" xfId="110"/>
    <cellStyle name="ЛокСмета 7 5" xfId="111"/>
    <cellStyle name="ЛокСмета 7 6" xfId="289"/>
    <cellStyle name="ЛокСмета 7 7" xfId="328"/>
    <cellStyle name="ЛокСмета 7 8" xfId="344"/>
    <cellStyle name="ЛокСмета 8" xfId="77"/>
    <cellStyle name="ЛокСмета 8 2" xfId="141"/>
    <cellStyle name="ЛокСмета 8 3" xfId="191"/>
    <cellStyle name="ЛокСмета 8 4" xfId="223"/>
    <cellStyle name="ЛокСмета 8 5" xfId="257"/>
    <cellStyle name="ЛокСмета 8 6" xfId="290"/>
    <cellStyle name="ЛокСмета 8 7" xfId="307"/>
    <cellStyle name="ЛокСмета 8 8" xfId="348"/>
    <cellStyle name="ЛокСмета 9" xfId="78"/>
    <cellStyle name="ЛокСмета 9 2" xfId="142"/>
    <cellStyle name="ЛокСмета 9 3" xfId="192"/>
    <cellStyle name="ЛокСмета 9 4" xfId="224"/>
    <cellStyle name="ЛокСмета 9 5" xfId="258"/>
    <cellStyle name="ЛокСмета 9 6" xfId="234"/>
    <cellStyle name="ЛокСмета 9 7" xfId="322"/>
    <cellStyle name="ЛокСмета 9 8" xfId="349"/>
    <cellStyle name="Обычный" xfId="0" builtinId="0"/>
    <cellStyle name="Обычный 2" xfId="1"/>
    <cellStyle name="Обычный 2 2" xfId="23"/>
    <cellStyle name="Обычный 2 2 2" xfId="36"/>
    <cellStyle name="Обычный 2 2 2 2" xfId="49"/>
    <cellStyle name="Обычный 2 2 2 2 2" xfId="144"/>
    <cellStyle name="Обычный 2 2 2 3" xfId="97"/>
    <cellStyle name="Обычный 2 2 3" xfId="39"/>
    <cellStyle name="Обычный 2 2 3 2" xfId="52"/>
    <cellStyle name="Обычный 2 2 3 2 2" xfId="145"/>
    <cellStyle name="Обычный 2 2 3 3" xfId="98"/>
    <cellStyle name="Обычный 2 2 4" xfId="32"/>
    <cellStyle name="Обычный 2 2 4 2" xfId="60"/>
    <cellStyle name="Обычный 2 2 4 2 2" xfId="146"/>
    <cellStyle name="Обычный 2 2 4 3" xfId="99"/>
    <cellStyle name="Обычный 2 2 5" xfId="56"/>
    <cellStyle name="Обычный 2 2 6" xfId="45"/>
    <cellStyle name="Обычный 2 2 6 2" xfId="143"/>
    <cellStyle name="Обычный 2 2 7" xfId="96"/>
    <cellStyle name="Обычный 2 3" xfId="34"/>
    <cellStyle name="Обычный 2 3 2" xfId="30"/>
    <cellStyle name="Обычный 2 3 2 2" xfId="35"/>
    <cellStyle name="Обычный 2 3 2 2 2" xfId="48"/>
    <cellStyle name="Обычный 2 3 2 2 2 2" xfId="150"/>
    <cellStyle name="Обычный 2 3 2 2 3" xfId="102"/>
    <cellStyle name="Обычный 2 3 2 3" xfId="43"/>
    <cellStyle name="Обычный 2 3 2 3 2" xfId="149"/>
    <cellStyle name="Обычный 2 3 2 4" xfId="101"/>
    <cellStyle name="Обычный 2 3 3" xfId="47"/>
    <cellStyle name="Обычный 2 3 3 2" xfId="148"/>
    <cellStyle name="Обычный 2 3 4" xfId="100"/>
    <cellStyle name="Обычный 2 4" xfId="38"/>
    <cellStyle name="Обычный 2 4 2" xfId="51"/>
    <cellStyle name="Обычный 2 4 2 2" xfId="151"/>
    <cellStyle name="Обычный 2 4 3" xfId="103"/>
    <cellStyle name="Обычный 2 5" xfId="25"/>
    <cellStyle name="Обычный 2 7" xfId="33"/>
    <cellStyle name="Обычный 2 7 2" xfId="37"/>
    <cellStyle name="Обычный 2 7 2 2" xfId="50"/>
    <cellStyle name="Обычный 2 7 2 2 2" xfId="153"/>
    <cellStyle name="Обычный 2 7 2 3" xfId="105"/>
    <cellStyle name="Обычный 2 7 3" xfId="46"/>
    <cellStyle name="Обычный 2 7 3 2" xfId="152"/>
    <cellStyle name="Обычный 2 7 4" xfId="104"/>
    <cellStyle name="Обычный 3" xfId="27"/>
    <cellStyle name="Обычный 3 2" xfId="57"/>
    <cellStyle name="Обычный 3 2 2" xfId="106"/>
    <cellStyle name="Обычный 3 3" xfId="55"/>
    <cellStyle name="Обычный 4" xfId="54"/>
    <cellStyle name="Обычный 5" xfId="41"/>
    <cellStyle name="Обычный 5 2" xfId="125"/>
    <cellStyle name="Обычный 6" xfId="24"/>
    <cellStyle name="Обычный 6 2" xfId="94"/>
    <cellStyle name="Открывавшаяся гиперссылка" xfId="3" builtinId="9" hidden="1"/>
    <cellStyle name="Открывавшаяся гиперссылка" xfId="4" builtinId="9" hidden="1"/>
    <cellStyle name="Открывавшаяся гиперссылка" xfId="5" builtinId="9" hidden="1"/>
    <cellStyle name="Открывавшаяся гиперссылка" xfId="6" builtinId="9" hidden="1"/>
    <cellStyle name="Открывавшаяся гиперссылка" xfId="7" builtinId="9" hidden="1"/>
    <cellStyle name="Открывавшаяся гиперссылка" xfId="8" builtinId="9" hidden="1"/>
    <cellStyle name="Открывавшаяся гиперссылка" xfId="9" builtinId="9" hidden="1"/>
    <cellStyle name="Открывавшаяся гиперссылка" xfId="10" builtinId="9" hidden="1"/>
    <cellStyle name="Открывавшаяся гиперссылка" xfId="11" builtinId="9" hidden="1"/>
    <cellStyle name="Открывавшаяся гиперссылка" xfId="12" builtinId="9" hidden="1"/>
    <cellStyle name="Открывавшаяся гиперссылка" xfId="13" builtinId="9" hidden="1"/>
    <cellStyle name="Открывавшаяся гиперссылка" xfId="14" builtinId="9" hidden="1"/>
    <cellStyle name="Открывавшаяся гиперссылка" xfId="15" builtinId="9" hidden="1"/>
    <cellStyle name="Открывавшаяся гиперссылка" xfId="16" builtinId="9" hidden="1"/>
    <cellStyle name="Открывавшаяся гиперссылка" xfId="17" builtinId="9" hidden="1"/>
    <cellStyle name="Открывавшаяся гиперссылка" xfId="18" builtinId="9" hidden="1"/>
    <cellStyle name="Открывавшаяся гиперссылка" xfId="19" builtinId="9" hidden="1"/>
    <cellStyle name="Открывавшаяся гиперссылка" xfId="20" builtinId="9" hidden="1"/>
    <cellStyle name="Открывавшаяся гиперссылка" xfId="21" builtinId="9" hidden="1"/>
    <cellStyle name="Титул" xfId="28"/>
    <cellStyle name="Титул 10" xfId="79"/>
    <cellStyle name="Титул 10 2" xfId="156"/>
    <cellStyle name="Титул 10 3" xfId="204"/>
    <cellStyle name="Титул 10 4" xfId="238"/>
    <cellStyle name="Титул 10 5" xfId="269"/>
    <cellStyle name="Титул 10 6" xfId="114"/>
    <cellStyle name="Титул 10 7" xfId="318"/>
    <cellStyle name="Титул 10 8" xfId="350"/>
    <cellStyle name="Титул 11" xfId="74"/>
    <cellStyle name="Титул 11 2" xfId="157"/>
    <cellStyle name="Титул 11 3" xfId="205"/>
    <cellStyle name="Титул 11 4" xfId="239"/>
    <cellStyle name="Титул 11 5" xfId="270"/>
    <cellStyle name="Титул 11 6" xfId="235"/>
    <cellStyle name="Титул 11 7" xfId="300"/>
    <cellStyle name="Титул 11 8" xfId="345"/>
    <cellStyle name="Титул 12" xfId="81"/>
    <cellStyle name="Титул 12 2" xfId="158"/>
    <cellStyle name="Титул 12 3" xfId="206"/>
    <cellStyle name="Титул 12 4" xfId="240"/>
    <cellStyle name="Титул 12 5" xfId="271"/>
    <cellStyle name="Титул 12 6" xfId="121"/>
    <cellStyle name="Титул 12 7" xfId="306"/>
    <cellStyle name="Титул 12 8" xfId="352"/>
    <cellStyle name="Титул 13" xfId="80"/>
    <cellStyle name="Титул 13 2" xfId="159"/>
    <cellStyle name="Титул 13 3" xfId="207"/>
    <cellStyle name="Титул 13 4" xfId="241"/>
    <cellStyle name="Титул 13 5" xfId="272"/>
    <cellStyle name="Титул 13 6" xfId="122"/>
    <cellStyle name="Титул 13 7" xfId="317"/>
    <cellStyle name="Титул 13 8" xfId="351"/>
    <cellStyle name="Титул 14" xfId="84"/>
    <cellStyle name="Титул 14 2" xfId="160"/>
    <cellStyle name="Титул 14 3" xfId="208"/>
    <cellStyle name="Титул 14 4" xfId="242"/>
    <cellStyle name="Титул 14 5" xfId="273"/>
    <cellStyle name="Титул 14 6" xfId="254"/>
    <cellStyle name="Титул 14 7" xfId="320"/>
    <cellStyle name="Титул 14 8" xfId="355"/>
    <cellStyle name="Титул 15" xfId="89"/>
    <cellStyle name="Титул 15 2" xfId="161"/>
    <cellStyle name="Титул 15 3" xfId="209"/>
    <cellStyle name="Титул 15 4" xfId="243"/>
    <cellStyle name="Титул 15 5" xfId="274"/>
    <cellStyle name="Титул 15 6" xfId="107"/>
    <cellStyle name="Титул 15 7" xfId="310"/>
    <cellStyle name="Титул 15 8" xfId="360"/>
    <cellStyle name="Титул 16" xfId="91"/>
    <cellStyle name="Титул 16 2" xfId="162"/>
    <cellStyle name="Титул 16 3" xfId="210"/>
    <cellStyle name="Титул 16 4" xfId="244"/>
    <cellStyle name="Титул 16 5" xfId="275"/>
    <cellStyle name="Титул 16 6" xfId="109"/>
    <cellStyle name="Титул 16 7" xfId="301"/>
    <cellStyle name="Титул 16 8" xfId="362"/>
    <cellStyle name="Титул 17" xfId="58"/>
    <cellStyle name="Титул 17 2" xfId="163"/>
    <cellStyle name="Титул 17 3" xfId="211"/>
    <cellStyle name="Титул 17 4" xfId="245"/>
    <cellStyle name="Титул 17 5" xfId="276"/>
    <cellStyle name="Титул 17 6" xfId="298"/>
    <cellStyle name="Титул 17 7" xfId="326"/>
    <cellStyle name="Титул 17 8" xfId="308"/>
    <cellStyle name="Титул 18" xfId="42"/>
    <cellStyle name="Титул 18 2" xfId="174"/>
    <cellStyle name="Титул 18 3" xfId="222"/>
    <cellStyle name="Титул 18 4" xfId="256"/>
    <cellStyle name="Титул 18 5" xfId="286"/>
    <cellStyle name="Титул 18 6" xfId="117"/>
    <cellStyle name="Титул 19" xfId="93"/>
    <cellStyle name="Титул 19 2" xfId="203"/>
    <cellStyle name="Титул 19 3" xfId="237"/>
    <cellStyle name="Титул 19 4" xfId="268"/>
    <cellStyle name="Титул 19 5" xfId="287"/>
    <cellStyle name="Титул 2" xfId="65"/>
    <cellStyle name="Титул 2 2" xfId="164"/>
    <cellStyle name="Титул 2 3" xfId="212"/>
    <cellStyle name="Титул 2 4" xfId="246"/>
    <cellStyle name="Титул 2 5" xfId="277"/>
    <cellStyle name="Титул 2 6" xfId="232"/>
    <cellStyle name="Титул 2 7" xfId="330"/>
    <cellStyle name="Титул 2 8" xfId="336"/>
    <cellStyle name="Титул 20" xfId="113"/>
    <cellStyle name="Титул 3" xfId="63"/>
    <cellStyle name="Титул 3 2" xfId="165"/>
    <cellStyle name="Титул 3 3" xfId="213"/>
    <cellStyle name="Титул 3 4" xfId="247"/>
    <cellStyle name="Титул 3 5" xfId="278"/>
    <cellStyle name="Титул 3 6" xfId="260"/>
    <cellStyle name="Титул 3 7" xfId="327"/>
    <cellStyle name="Титул 3 8" xfId="334"/>
    <cellStyle name="Титул 4" xfId="64"/>
    <cellStyle name="Титул 4 2" xfId="166"/>
    <cellStyle name="Титул 4 3" xfId="214"/>
    <cellStyle name="Титул 4 4" xfId="248"/>
    <cellStyle name="Титул 4 5" xfId="279"/>
    <cellStyle name="Титул 4 6" xfId="231"/>
    <cellStyle name="Титул 4 7" xfId="312"/>
    <cellStyle name="Титул 4 8" xfId="335"/>
    <cellStyle name="Титул 5" xfId="66"/>
    <cellStyle name="Титул 5 2" xfId="167"/>
    <cellStyle name="Титул 5 3" xfId="215"/>
    <cellStyle name="Титул 5 4" xfId="249"/>
    <cellStyle name="Титул 5 5" xfId="280"/>
    <cellStyle name="Титул 5 6" xfId="261"/>
    <cellStyle name="Титул 5 7" xfId="304"/>
    <cellStyle name="Титул 5 8" xfId="337"/>
    <cellStyle name="Титул 6" xfId="67"/>
    <cellStyle name="Титул 6 2" xfId="168"/>
    <cellStyle name="Титул 6 3" xfId="216"/>
    <cellStyle name="Титул 6 4" xfId="250"/>
    <cellStyle name="Титул 6 5" xfId="281"/>
    <cellStyle name="Титул 6 6" xfId="233"/>
    <cellStyle name="Титул 6 7" xfId="323"/>
    <cellStyle name="Титул 6 8" xfId="338"/>
    <cellStyle name="Титул 7" xfId="68"/>
    <cellStyle name="Титул 7 2" xfId="169"/>
    <cellStyle name="Титул 7 3" xfId="217"/>
    <cellStyle name="Титул 7 4" xfId="251"/>
    <cellStyle name="Титул 7 5" xfId="282"/>
    <cellStyle name="Титул 7 6" xfId="262"/>
    <cellStyle name="Титул 7 7" xfId="299"/>
    <cellStyle name="Титул 7 8" xfId="339"/>
    <cellStyle name="Титул 8" xfId="75"/>
    <cellStyle name="Титул 8 2" xfId="170"/>
    <cellStyle name="Титул 8 3" xfId="218"/>
    <cellStyle name="Титул 8 4" xfId="252"/>
    <cellStyle name="Титул 8 5" xfId="283"/>
    <cellStyle name="Титул 8 6" xfId="263"/>
    <cellStyle name="Титул 8 7" xfId="331"/>
    <cellStyle name="Титул 8 8" xfId="346"/>
    <cellStyle name="Титул 9" xfId="76"/>
    <cellStyle name="Титул 9 2" xfId="171"/>
    <cellStyle name="Титул 9 3" xfId="219"/>
    <cellStyle name="Титул 9 4" xfId="253"/>
    <cellStyle name="Титул 9 5" xfId="284"/>
    <cellStyle name="Титул 9 6" xfId="259"/>
    <cellStyle name="Титул 9 7" xfId="309"/>
    <cellStyle name="Титул 9 8" xfId="347"/>
    <cellStyle name="Финансовый 2" xfId="2"/>
    <cellStyle name="Финансовый 3" xfId="22"/>
    <cellStyle name="Финансовый 4" xfId="61"/>
    <cellStyle name="Финансовый 5" xfId="53"/>
    <cellStyle name="Финансовый 5 2" xfId="126"/>
    <cellStyle name="Финансовый 6" xfId="40"/>
    <cellStyle name="Финансовый 6 2" xfId="95"/>
  </cellStyles>
  <dxfs count="1">
    <dxf>
      <fill>
        <patternFill patternType="solid">
          <fgColor rgb="FFE4DFEC"/>
          <bgColor rgb="FF000000"/>
        </patternFill>
      </fill>
    </dxf>
  </dxfs>
  <tableStyles count="0" defaultTableStyle="TableStyleMedium9" defaultPivotStyle="PivotStyleLight16"/>
  <colors>
    <mruColors>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ibgenco.local\share\TGK13_SIBEI_Disk_S\&#1044;&#1086;&#1075;&#1086;&#1074;&#1086;&#1088;&#1085;&#1086;&#1081;_&#1086;&#1090;&#1076;&#1077;&#1083;_&#1088;&#1072;&#1073;&#1086;&#1095;&#1072;&#1103;\&#1088;&#1077;&#1077;&#1089;&#1090;&#1088;%20&#1088;&#1072;&#1073;&#1086;&#1095;&#1080;&#1081;%20&#1089;%2001.06.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44;&#1086;&#1075;&#1086;&#1074;&#1086;&#1088;&#1085;&#1086;&#1081;_&#1086;&#1090;&#1076;&#1077;&#1083;_&#1088;&#1072;&#1073;&#1086;&#1095;&#1072;&#1103;/&#1088;&#1077;&#1077;&#1089;&#1090;&#1088;%20&#1088;&#1072;&#1073;&#1086;&#1095;&#1080;&#1081;%20&#1089;%2001.06.2021%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ОБЩИЙ"/>
      <sheetName val="Лист1"/>
      <sheetName val="Лист3"/>
      <sheetName val="Лист2"/>
      <sheetName val=""/>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естр ОБЩИЙ"/>
      <sheetName val="Лист2"/>
      <sheetName val="Лист3"/>
      <sheetName val="Лист1"/>
    </sheetNames>
    <sheetDataSet>
      <sheetData sheetId="0" refreshError="1"/>
      <sheetData sheetId="1" refreshError="1"/>
      <sheetData sheetId="2" refreshError="1"/>
      <sheetData sheetId="3">
        <row r="1">
          <cell r="A1" t="str">
            <v>СМР</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es.digtp.com/ApprovalProcess/Document?DocumentId=d22ba3c2-fcce-4dac-9f9c-e7cabdcdcb6b" TargetMode="External"/><Relationship Id="rId13" Type="http://schemas.openxmlformats.org/officeDocument/2006/relationships/printerSettings" Target="../printerSettings/printerSettings1.bin"/><Relationship Id="rId3" Type="http://schemas.openxmlformats.org/officeDocument/2006/relationships/hyperlink" Target="mailto:sibenergostroy116@mail.ru" TargetMode="External"/><Relationship Id="rId7" Type="http://schemas.openxmlformats.org/officeDocument/2006/relationships/hyperlink" Target="https://ses.digtp.com/ApprovalProcess/Document?DocumentId=7a0517aa-33de-48f3-8a91-3eac5d4cb846" TargetMode="External"/><Relationship Id="rId12" Type="http://schemas.openxmlformats.org/officeDocument/2006/relationships/hyperlink" Target="https://ses.digtp.com/ApprovalProcess/Document?DocumentId=7f91ea3e-28b0-438b-bb8e-0949626dfae1" TargetMode="External"/><Relationship Id="rId2" Type="http://schemas.openxmlformats.org/officeDocument/2006/relationships/hyperlink" Target="https://ses.digtp.com/ApprovalProcess/Document?DocumentId=9bf76fbd-d02f-4781-9302-598af4357360" TargetMode="External"/><Relationship Id="rId1" Type="http://schemas.openxmlformats.org/officeDocument/2006/relationships/hyperlink" Target="https://ses.suek.ru/ApprovalProcess/Document?DocumentId=de4d6ac9-572f-4996-b452-6883a4b986f1" TargetMode="External"/><Relationship Id="rId6" Type="http://schemas.openxmlformats.org/officeDocument/2006/relationships/hyperlink" Target="mailto:sibenergostroy116@mail.ru" TargetMode="External"/><Relationship Id="rId11" Type="http://schemas.openxmlformats.org/officeDocument/2006/relationships/hyperlink" Target="https://ses.digtp.com/ApprovalProcess/Document?DocumentId=55294f33-f7e4-4d30-b6bb-4e1185ef7208" TargetMode="External"/><Relationship Id="rId5" Type="http://schemas.openxmlformats.org/officeDocument/2006/relationships/hyperlink" Target="mailto:sibenergostroy116@mail.ru" TargetMode="External"/><Relationship Id="rId10" Type="http://schemas.openxmlformats.org/officeDocument/2006/relationships/hyperlink" Target="mailto:stroy-master.dv@mail.ru" TargetMode="External"/><Relationship Id="rId4" Type="http://schemas.openxmlformats.org/officeDocument/2006/relationships/hyperlink" Target="https://ses.digtp.com/ApprovalProcess/Document?DocumentId=f7936cb9-fb01-460c-94f6-cc484b2f4394" TargetMode="External"/><Relationship Id="rId9" Type="http://schemas.openxmlformats.org/officeDocument/2006/relationships/hyperlink" Target="https://ses.digtp.com/ApprovalProcess/Document?DocumentId=2e14987b-49fe-41b4-b50c-9a12941b83e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ses.digtp.com/ApprovalProcess/Document?DocumentId=c1fb84e1-344f-451a-9304-c4901c44c79f" TargetMode="External"/><Relationship Id="rId21" Type="http://schemas.openxmlformats.org/officeDocument/2006/relationships/hyperlink" Target="https://ses.digtp.com/ApprovalProcess/Document?DocumentId=47990383-1f33-464b-b9ac-1b4fc11b8cb1" TargetMode="External"/><Relationship Id="rId42" Type="http://schemas.openxmlformats.org/officeDocument/2006/relationships/hyperlink" Target="https://ses.digtp.com/ApprovalProcess/Document?DocumentId=0a9bdcc1-9f5b-4985-b6bd-78d7091d5e8a" TargetMode="External"/><Relationship Id="rId63" Type="http://schemas.openxmlformats.org/officeDocument/2006/relationships/hyperlink" Target="https://ses.digtp.com/ApprovalProcess/Document?DocumentId=06eb886e-a978-462e-82de-2c91389b7199" TargetMode="External"/><Relationship Id="rId84" Type="http://schemas.openxmlformats.org/officeDocument/2006/relationships/hyperlink" Target="https://ses.digtp.com/ApprovalProcess/Document?DocumentId=e3f69f65-95c1-4167-8c79-1a5038484fb6" TargetMode="External"/><Relationship Id="rId138" Type="http://schemas.openxmlformats.org/officeDocument/2006/relationships/hyperlink" Target="https://ses.digtp.com/ApprovalProcess/Document?DocumentId=82a266b5-0dee-4462-ac7e-df17232acbf7" TargetMode="External"/><Relationship Id="rId159" Type="http://schemas.openxmlformats.org/officeDocument/2006/relationships/hyperlink" Target="https://ses.digtp.com/ApprovalProcess/Document?DocumentId=63cefe32-f2e6-4ac2-82bb-933896603ab3" TargetMode="External"/><Relationship Id="rId170" Type="http://schemas.openxmlformats.org/officeDocument/2006/relationships/hyperlink" Target="https://ses.digtp.com/ApprovalProcess/Document?DocumentId=70d77dda-48ba-4bfd-8bd9-2d35b8bbfb39" TargetMode="External"/><Relationship Id="rId107" Type="http://schemas.openxmlformats.org/officeDocument/2006/relationships/hyperlink" Target="https://ses.digtp.com/ApprovalProcess/Document?DocumentId=98cc276f-bea4-43a8-9e7e-965019c5b5b2" TargetMode="External"/><Relationship Id="rId11" Type="http://schemas.openxmlformats.org/officeDocument/2006/relationships/hyperlink" Target="https://ses.digtp.com/ApprovalProcess/Document?DocumentId=59467b07-5e7f-48c5-8563-bad9ec6c83db" TargetMode="External"/><Relationship Id="rId32" Type="http://schemas.openxmlformats.org/officeDocument/2006/relationships/hyperlink" Target="mailto:stroy-master.dv@mail.ru" TargetMode="External"/><Relationship Id="rId53" Type="http://schemas.openxmlformats.org/officeDocument/2006/relationships/hyperlink" Target="mailto:daniyarova_fa@energoresurs.uz" TargetMode="External"/><Relationship Id="rId74" Type="http://schemas.openxmlformats.org/officeDocument/2006/relationships/hyperlink" Target="https://ses.digtp.com/ApprovalProcess/Document?DocumentId=10c8d3a7-7757-4fa8-ad21-e03436a1da4c" TargetMode="External"/><Relationship Id="rId128" Type="http://schemas.openxmlformats.org/officeDocument/2006/relationships/hyperlink" Target="https://ses.digtp.com/ApprovalProcess/Document?DocumentId=b297ba27-39fc-4f71-a491-56700bfb1676" TargetMode="External"/><Relationship Id="rId149" Type="http://schemas.openxmlformats.org/officeDocument/2006/relationships/hyperlink" Target="mailto:ooo-esm19@mail.ru" TargetMode="External"/><Relationship Id="rId5" Type="http://schemas.openxmlformats.org/officeDocument/2006/relationships/hyperlink" Target="https://ses.digtp.com/ApprovalProcess/Document?DocumentId=d22ba3c2-fcce-4dac-9f9c-e7cabdcdcb6b" TargetMode="External"/><Relationship Id="rId95" Type="http://schemas.openxmlformats.org/officeDocument/2006/relationships/hyperlink" Target="https://ses.digtp.com/ApprovalProcess/Document?DocumentId=6a06becc-d731-4fbe-b095-df9ffba0a00b" TargetMode="External"/><Relationship Id="rId160" Type="http://schemas.openxmlformats.org/officeDocument/2006/relationships/hyperlink" Target="https://ses.digtp.com/ApprovalProcess/Document?DocumentId=99150227-a9dd-402f-a51d-260fae8f7ef0" TargetMode="External"/><Relationship Id="rId22" Type="http://schemas.openxmlformats.org/officeDocument/2006/relationships/hyperlink" Target="https://ses.digtp.com/ApprovalProcess/Document?DocumentId=31847683-6116-4f65-931f-f153333caef2" TargetMode="External"/><Relationship Id="rId43" Type="http://schemas.openxmlformats.org/officeDocument/2006/relationships/hyperlink" Target="https://ses.digtp.com/ApprovalProcess/Document?DocumentId=0e1f04bb-6214-4e0f-acc9-0a7a06cff360" TargetMode="External"/><Relationship Id="rId64" Type="http://schemas.openxmlformats.org/officeDocument/2006/relationships/hyperlink" Target="https://ses.digtp.com/ApprovalProcess/Document?DocumentId=e7433723-0c7d-4709-b9e7-b9be40216eec" TargetMode="External"/><Relationship Id="rId118" Type="http://schemas.openxmlformats.org/officeDocument/2006/relationships/hyperlink" Target="https://ses.digtp.com/ApprovalProcess/Document?DocumentId=e0687b30-bb41-4594-b653-a17cf44d20a4" TargetMode="External"/><Relationship Id="rId139" Type="http://schemas.openxmlformats.org/officeDocument/2006/relationships/hyperlink" Target="mailto:reresurs@gmail.com" TargetMode="External"/><Relationship Id="rId85" Type="http://schemas.openxmlformats.org/officeDocument/2006/relationships/hyperlink" Target="https://ses.digtp.com/ApprovalProcess/Document?DocumentId=a468d9bd-5973-4a6a-8b43-8092e51f7364" TargetMode="External"/><Relationship Id="rId150" Type="http://schemas.openxmlformats.org/officeDocument/2006/relationships/hyperlink" Target="https://ses.digtp.com/ApprovalProcess/Document?DocumentId=56dd7159-f2d8-4289-bbb8-a19b0de25c9c" TargetMode="External"/><Relationship Id="rId171" Type="http://schemas.openxmlformats.org/officeDocument/2006/relationships/printerSettings" Target="../printerSettings/printerSettings3.bin"/><Relationship Id="rId12" Type="http://schemas.openxmlformats.org/officeDocument/2006/relationships/hyperlink" Target="https://ses.digtp.com/ApprovalProcess/Document?DocumentId=981bf095-553d-4ed7-bce4-4e8a36225046" TargetMode="External"/><Relationship Id="rId33" Type="http://schemas.openxmlformats.org/officeDocument/2006/relationships/hyperlink" Target="https://ses.digtp.com/ApprovalProcess/Document?DocumentId=664c558d-e950-4b44-98b9-06d6db3e9e65" TargetMode="External"/><Relationship Id="rId108" Type="http://schemas.openxmlformats.org/officeDocument/2006/relationships/hyperlink" Target="https://ses.digtp.com/ApprovalProcess/Document?DocumentId=64d1f14a-38e2-4cea-a696-efbad6b73805" TargetMode="External"/><Relationship Id="rId129" Type="http://schemas.openxmlformats.org/officeDocument/2006/relationships/hyperlink" Target="https://ses.digtp.com/ApprovalProcess/Document?DocumentId=57c12543-9995-438f-bb7e-bef9a9ea956e" TargetMode="External"/><Relationship Id="rId54" Type="http://schemas.openxmlformats.org/officeDocument/2006/relationships/hyperlink" Target="https://ses.digtp.com/ApprovalProcess/Document?DocumentId=974abbf8-6149-4569-be18-576e407cd7c1" TargetMode="External"/><Relationship Id="rId70" Type="http://schemas.openxmlformats.org/officeDocument/2006/relationships/hyperlink" Target="https://ses.digtp.com/ApprovalProcess/Document?DocumentId=c2296941-ccda-4ddd-8065-7fda183d9356" TargetMode="External"/><Relationship Id="rId75" Type="http://schemas.openxmlformats.org/officeDocument/2006/relationships/hyperlink" Target="https://ses.digtp.com/ApprovalProcess/Document?DocumentId=43ae618b-64f0-4632-8b54-72a3277c9f62" TargetMode="External"/><Relationship Id="rId91" Type="http://schemas.openxmlformats.org/officeDocument/2006/relationships/hyperlink" Target="https://ses.digtp.com/ApprovalProcess/Document?DocumentId=94e49fa6-0150-4df0-8c5a-cc341b4f7924" TargetMode="External"/><Relationship Id="rId96" Type="http://schemas.openxmlformats.org/officeDocument/2006/relationships/hyperlink" Target="mailto:pravo_gidrom@mail.ru" TargetMode="External"/><Relationship Id="rId140" Type="http://schemas.openxmlformats.org/officeDocument/2006/relationships/hyperlink" Target="https://ses.digtp.com/ApprovalProcess/Document?DocumentId=ccb33cf5-79e5-4042-be92-a0428254e597" TargetMode="External"/><Relationship Id="rId145" Type="http://schemas.openxmlformats.org/officeDocument/2006/relationships/hyperlink" Target="mailto:ooo-esm19@mail.ru" TargetMode="External"/><Relationship Id="rId161" Type="http://schemas.openxmlformats.org/officeDocument/2006/relationships/hyperlink" Target="https://ses.digtp.com/ApprovalProcess/Document?DocumentId=a861408e-4128-4c27-a177-2270db1e57c6" TargetMode="External"/><Relationship Id="rId166" Type="http://schemas.openxmlformats.org/officeDocument/2006/relationships/hyperlink" Target="https://ses.digtp.com/ApprovalProcess/Document?DocumentId=05066cf8-acd0-4822-bd5e-b722514021a9" TargetMode="External"/><Relationship Id="rId1" Type="http://schemas.openxmlformats.org/officeDocument/2006/relationships/hyperlink" Target="https://ses.digtp.com/ApprovalProcess/Document?DocumentId=c8b30a30-3341-402d-b212-4f4c9bebb41b" TargetMode="External"/><Relationship Id="rId6" Type="http://schemas.openxmlformats.org/officeDocument/2006/relationships/hyperlink" Target="https://ses.digtp.com/ApprovalProcess/Document?DocumentId=516c0735-0c15-417b-93f5-88f7891eea31" TargetMode="External"/><Relationship Id="rId23" Type="http://schemas.openxmlformats.org/officeDocument/2006/relationships/hyperlink" Target="https://ses.digtp.com/ApprovalProcess/Document?DocumentId=b010ca46-bcf3-44c2-a135-7fd67f04238d" TargetMode="External"/><Relationship Id="rId28" Type="http://schemas.openxmlformats.org/officeDocument/2006/relationships/hyperlink" Target="mailto:info@bais.ru,smeta@bais.ru" TargetMode="External"/><Relationship Id="rId49" Type="http://schemas.openxmlformats.org/officeDocument/2006/relationships/hyperlink" Target="https://ses.digtp.com/ApprovalProcess/Document?DocumentId=fa796f60-94be-4d90-b78a-116443b8925e" TargetMode="External"/><Relationship Id="rId114" Type="http://schemas.openxmlformats.org/officeDocument/2006/relationships/hyperlink" Target="https://ses.digtp.com/ApprovalProcess/Document?DocumentId=7ed47ee2-b4c9-4cd3-be91-51404c386398" TargetMode="External"/><Relationship Id="rId119" Type="http://schemas.openxmlformats.org/officeDocument/2006/relationships/hyperlink" Target="https://ses.suek.ru/ApprovalProcess/Document?DocumentId=76281f95-85cc-46fb-bf88-d747ee5b2698" TargetMode="External"/><Relationship Id="rId44" Type="http://schemas.openxmlformats.org/officeDocument/2006/relationships/hyperlink" Target="https://ses.digtp.com/ApprovalProcess/Document?DocumentId=1649991b-cce3-4dac-a700-78fb25094cf7" TargetMode="External"/><Relationship Id="rId60" Type="http://schemas.openxmlformats.org/officeDocument/2006/relationships/hyperlink" Target="mailto:ooo-esm19@mail.ru" TargetMode="External"/><Relationship Id="rId65" Type="http://schemas.openxmlformats.org/officeDocument/2006/relationships/hyperlink" Target="mailto:office_gidrom@mail.ru" TargetMode="External"/><Relationship Id="rId81" Type="http://schemas.openxmlformats.org/officeDocument/2006/relationships/hyperlink" Target="mailto:priemnayaIAC@sibgenco.ru" TargetMode="External"/><Relationship Id="rId86" Type="http://schemas.openxmlformats.org/officeDocument/2006/relationships/hyperlink" Target="mailto:profreserv.krs@mail.ru" TargetMode="External"/><Relationship Id="rId130" Type="http://schemas.openxmlformats.org/officeDocument/2006/relationships/hyperlink" Target="https://ses.digtp.com/ApprovalProcess/Document?DocumentId=650ec689-4402-40cc-a19a-c1c86b20d371" TargetMode="External"/><Relationship Id="rId135" Type="http://schemas.openxmlformats.org/officeDocument/2006/relationships/hyperlink" Target="https://ses.digtp.com/ApprovalProcess/Document?DocumentId=130825ef-5980-4ec1-b7d8-c03270236ed3" TargetMode="External"/><Relationship Id="rId151" Type="http://schemas.openxmlformats.org/officeDocument/2006/relationships/hyperlink" Target="https://ses.digtp.com/ApprovalProcess/Document?DocumentId=4938509e-0e31-4de7-a000-5aba0dcf95ec" TargetMode="External"/><Relationship Id="rId156" Type="http://schemas.openxmlformats.org/officeDocument/2006/relationships/hyperlink" Target="mailto:smeta2@gidrom24.ru" TargetMode="External"/><Relationship Id="rId13" Type="http://schemas.openxmlformats.org/officeDocument/2006/relationships/hyperlink" Target="https://ses.digtp.com/ApprovalProcess/Document?DocumentId=477b5daf-bd38-4375-b022-8db4543c67ad" TargetMode="External"/><Relationship Id="rId18" Type="http://schemas.openxmlformats.org/officeDocument/2006/relationships/hyperlink" Target="https://ses.digtp.com/ApprovalProcess/Document?DocumentId=b9ddb1f0-58ec-47ee-99fc-729f61316ebc" TargetMode="External"/><Relationship Id="rId39" Type="http://schemas.openxmlformats.org/officeDocument/2006/relationships/hyperlink" Target="https://ses.digtp.com/ApprovalProcess/Document?DocumentId=840b52ad-5a9d-4a17-a44c-5d34a543bb7d" TargetMode="External"/><Relationship Id="rId109" Type="http://schemas.openxmlformats.org/officeDocument/2006/relationships/hyperlink" Target="mailto:priemnayaIAC@sibgenco.ru" TargetMode="External"/><Relationship Id="rId34" Type="http://schemas.openxmlformats.org/officeDocument/2006/relationships/hyperlink" Target="https://ses.digtp.com/ApprovalProcess/Document?DocumentId=8e9dcc39-8e52-4039-b132-e335ef6835cb" TargetMode="External"/><Relationship Id="rId50" Type="http://schemas.openxmlformats.org/officeDocument/2006/relationships/hyperlink" Target="mailto:info@emtstroy.ru" TargetMode="External"/><Relationship Id="rId55" Type="http://schemas.openxmlformats.org/officeDocument/2006/relationships/hyperlink" Target="https://ses.digtp.com/ApprovalProcess/Document?DocumentId=6c50b889-b49b-4959-b404-c85d6761ccdc" TargetMode="External"/><Relationship Id="rId76" Type="http://schemas.openxmlformats.org/officeDocument/2006/relationships/hyperlink" Target="https://ses.digtp.com/ApprovalProcess/Document?DocumentId=cbd67600-28d6-4532-b178-da8029f933d6" TargetMode="External"/><Relationship Id="rId97" Type="http://schemas.openxmlformats.org/officeDocument/2006/relationships/hyperlink" Target="https://ses.digtp.com/ApprovalProcess/Document?DocumentId=b1e46947-434d-4334-bd91-7dd4afc010d4" TargetMode="External"/><Relationship Id="rId104" Type="http://schemas.openxmlformats.org/officeDocument/2006/relationships/hyperlink" Target="https://ses.digtp.com/ApprovalProcess/Document?DocumentId=2a1d822f-3f62-4412-bd69-3f030f0ff303" TargetMode="External"/><Relationship Id="rId120" Type="http://schemas.openxmlformats.org/officeDocument/2006/relationships/hyperlink" Target="mailto:alkadpto@yandex.ru" TargetMode="External"/><Relationship Id="rId125" Type="http://schemas.openxmlformats.org/officeDocument/2006/relationships/hyperlink" Target="https://ses.digtp.com/ApprovalProcess/Document?DocumentId=741b915a-1ab7-479b-a31f-7215775abce0" TargetMode="External"/><Relationship Id="rId141" Type="http://schemas.openxmlformats.org/officeDocument/2006/relationships/hyperlink" Target="https://ses.digtp.com/ApprovalProcess/Document?DocumentId=c532437b-8479-408f-8e55-49cafc9ceee4" TargetMode="External"/><Relationship Id="rId146" Type="http://schemas.openxmlformats.org/officeDocument/2006/relationships/hyperlink" Target="https://ses.digtp.com/ApprovalProcess/Document?DocumentId=9b9ed740-cbc9-4128-bfe3-31511d59648a" TargetMode="External"/><Relationship Id="rId167" Type="http://schemas.openxmlformats.org/officeDocument/2006/relationships/hyperlink" Target="mailto:energo.ingin@gmail.com" TargetMode="External"/><Relationship Id="rId7" Type="http://schemas.openxmlformats.org/officeDocument/2006/relationships/hyperlink" Target="https://ses.digtp.com/ApprovalProcess/Document?DocumentId=d1ff0600-a825-4273-99b7-eebddc6699a7" TargetMode="External"/><Relationship Id="rId71" Type="http://schemas.openxmlformats.org/officeDocument/2006/relationships/hyperlink" Target="mailto:daniyarova_fa@energoresurs.uz" TargetMode="External"/><Relationship Id="rId92" Type="http://schemas.openxmlformats.org/officeDocument/2006/relationships/hyperlink" Target="https://ses.digtp.com/ApprovalProcess/Document?DocumentId=13b2095e-65f4-4b9a-91f3-40092042c793" TargetMode="External"/><Relationship Id="rId162" Type="http://schemas.openxmlformats.org/officeDocument/2006/relationships/hyperlink" Target="https://ses.digtp.com/ApprovalProcess/Document?DocumentId=6c136716-ad66-4be9-bc9a-97764e0c143b" TargetMode="External"/><Relationship Id="rId2" Type="http://schemas.openxmlformats.org/officeDocument/2006/relationships/hyperlink" Target="https://ses.digtp.com/ApprovalProcess/Document?DocumentId=5e02436c-16a0-4f66-9592-72ee3c6fbf3c" TargetMode="External"/><Relationship Id="rId29" Type="http://schemas.openxmlformats.org/officeDocument/2006/relationships/hyperlink" Target="https://ses.digtp.com/ApprovalProcess/Document?DocumentId=3eecbde0-023d-47ff-9b12-49796d58061b" TargetMode="External"/><Relationship Id="rId24" Type="http://schemas.openxmlformats.org/officeDocument/2006/relationships/hyperlink" Target="https://ses.digtp.com/ApprovalProcess/Document?DocumentId=ce0fbe3c-0e1b-4465-b108-42112bfd4d9b" TargetMode="External"/><Relationship Id="rId40" Type="http://schemas.openxmlformats.org/officeDocument/2006/relationships/hyperlink" Target="https://ses.digtp.com/ApprovalProcess/Document?DocumentId=4642d8fd-bdfb-47ab-98ba-8725a0cefd09" TargetMode="External"/><Relationship Id="rId45" Type="http://schemas.openxmlformats.org/officeDocument/2006/relationships/hyperlink" Target="https://ses.digtp.com/ApprovalProcess/Document?DocumentId=658507fd-de5c-4c11-ae1e-d1e80060b463" TargetMode="External"/><Relationship Id="rId66" Type="http://schemas.openxmlformats.org/officeDocument/2006/relationships/hyperlink" Target="mailto:office@ooo-kem.ru" TargetMode="External"/><Relationship Id="rId87" Type="http://schemas.openxmlformats.org/officeDocument/2006/relationships/hyperlink" Target="https://ses.digtp.com/ApprovalProcess/Document?DocumentId=6f053e19-bd2e-4b13-932a-21e0351705f7" TargetMode="External"/><Relationship Id="rId110" Type="http://schemas.openxmlformats.org/officeDocument/2006/relationships/hyperlink" Target="https://ses.digtp.com/ApprovalProcess/Document?DocumentId=bea6d3ca-aa36-4fa7-907e-2ad83e6e76bf" TargetMode="External"/><Relationship Id="rId115" Type="http://schemas.openxmlformats.org/officeDocument/2006/relationships/hyperlink" Target="mailto:pravo_gidrom@mail.ru" TargetMode="External"/><Relationship Id="rId131" Type="http://schemas.openxmlformats.org/officeDocument/2006/relationships/hyperlink" Target="mailto:info@decor-pfp.com" TargetMode="External"/><Relationship Id="rId136" Type="http://schemas.openxmlformats.org/officeDocument/2006/relationships/hyperlink" Target="mailto:energo.ingin@gmail.com" TargetMode="External"/><Relationship Id="rId157" Type="http://schemas.openxmlformats.org/officeDocument/2006/relationships/hyperlink" Target="mailto:info@decor-pfp.com" TargetMode="External"/><Relationship Id="rId61" Type="http://schemas.openxmlformats.org/officeDocument/2006/relationships/hyperlink" Target="https://ses.digtp.com/ApprovalProcess/Document?DocumentId=62954054-de79-45c9-92ae-5d710d5282ad" TargetMode="External"/><Relationship Id="rId82" Type="http://schemas.openxmlformats.org/officeDocument/2006/relationships/hyperlink" Target="https://ses.digtp.com/ApprovalProcess/Document?DocumentId=1ad8a217-a97c-4f0e-8fb1-116a8e4440cb" TargetMode="External"/><Relationship Id="rId152" Type="http://schemas.openxmlformats.org/officeDocument/2006/relationships/hyperlink" Target="https://ses.digtp.com/ApprovalProcess/Document?DocumentId=54ac7bbb-3005-4acd-a393-c78e0065d68e" TargetMode="External"/><Relationship Id="rId19" Type="http://schemas.openxmlformats.org/officeDocument/2006/relationships/hyperlink" Target="https://ses.digtp.com/ApprovalProcess/Document?DocumentId=a633783d-0abd-472f-85fb-a83854e1e186" TargetMode="External"/><Relationship Id="rId14" Type="http://schemas.openxmlformats.org/officeDocument/2006/relationships/hyperlink" Target="https://ses.digtp.com/ApprovalProcess/Document?DocumentId=329ea814-aa22-4110-a654-85c314002b0a" TargetMode="External"/><Relationship Id="rId30" Type="http://schemas.openxmlformats.org/officeDocument/2006/relationships/hyperlink" Target="https://ses.digtp.com/ApprovalProcess/Document?DocumentId=efa9f19e-1a1a-40cb-afc8-f3e561a28bb6" TargetMode="External"/><Relationship Id="rId35" Type="http://schemas.openxmlformats.org/officeDocument/2006/relationships/hyperlink" Target="mailto:office@uks-sibir.ru" TargetMode="External"/><Relationship Id="rId56" Type="http://schemas.openxmlformats.org/officeDocument/2006/relationships/hyperlink" Target="mailto:karpunina@ooo-kem.ru" TargetMode="External"/><Relationship Id="rId77" Type="http://schemas.openxmlformats.org/officeDocument/2006/relationships/hyperlink" Target="https://ses.digtp.com/ApprovalProcess/Document?DocumentId=2cc8ad1a-0ef6-49e5-be17-e9cd91161cc0" TargetMode="External"/><Relationship Id="rId100" Type="http://schemas.openxmlformats.org/officeDocument/2006/relationships/hyperlink" Target="https://ses.digtp.com/ApprovalProcess/Document?DocumentId=14c4ccca-7b88-4e36-bc6b-6706f2bdf7af" TargetMode="External"/><Relationship Id="rId105" Type="http://schemas.openxmlformats.org/officeDocument/2006/relationships/hyperlink" Target="mailto:melnikli@gidrom24.ru" TargetMode="External"/><Relationship Id="rId126" Type="http://schemas.openxmlformats.org/officeDocument/2006/relationships/hyperlink" Target="mailto:infofec@yandex.ru" TargetMode="External"/><Relationship Id="rId147" Type="http://schemas.openxmlformats.org/officeDocument/2006/relationships/hyperlink" Target="mailto:ooo-esm19@mail.ru" TargetMode="External"/><Relationship Id="rId168" Type="http://schemas.openxmlformats.org/officeDocument/2006/relationships/hyperlink" Target="https://ses.digtp.com/ApprovalProcess/Document?DocumentId=d5b10952-69cc-4af6-85c9-7bf5c71e8f98" TargetMode="External"/><Relationship Id="rId8" Type="http://schemas.openxmlformats.org/officeDocument/2006/relationships/hyperlink" Target="https://ses.digtp.com/ApprovalProcess/Document?DocumentId=d2a3855a-f688-4a67-bd7c-3856be28a411" TargetMode="External"/><Relationship Id="rId51" Type="http://schemas.openxmlformats.org/officeDocument/2006/relationships/hyperlink" Target="https://ses.digtp.com/ApprovalProcess/Document?DocumentId=51111657-c070-4e96-89a2-6f1e9b1016f4" TargetMode="External"/><Relationship Id="rId72" Type="http://schemas.openxmlformats.org/officeDocument/2006/relationships/hyperlink" Target="https://ses.digtp.com/ApprovalProcess/Document?DocumentId=fd9d3e10-6f73-45fa-b872-a6fffda7a313" TargetMode="External"/><Relationship Id="rId93" Type="http://schemas.openxmlformats.org/officeDocument/2006/relationships/hyperlink" Target="https://ses.digtp.com/ApprovalProcess/Document?DocumentId=4b1fa02c-8b80-4665-94a1-a28867f3c096" TargetMode="External"/><Relationship Id="rId98" Type="http://schemas.openxmlformats.org/officeDocument/2006/relationships/hyperlink" Target="https://ses.digtp.com/ApprovalProcess/Document?DocumentId=c6ae2a33-265c-4718-bf61-92c31dcf38c8" TargetMode="External"/><Relationship Id="rId121" Type="http://schemas.openxmlformats.org/officeDocument/2006/relationships/hyperlink" Target="https://ses.digtp.com/ApprovalProcess/Document?DocumentId=999a9cbe-3847-4317-b469-e85e958b2872" TargetMode="External"/><Relationship Id="rId142" Type="http://schemas.openxmlformats.org/officeDocument/2006/relationships/hyperlink" Target="mailto:info@decor-pfp.com" TargetMode="External"/><Relationship Id="rId163" Type="http://schemas.openxmlformats.org/officeDocument/2006/relationships/hyperlink" Target="https://ses.digtp.com/ApprovalProcess/Document?DocumentId=e4ed6889-b7b0-41b2-8093-a01b7cc8f92f" TargetMode="External"/><Relationship Id="rId3" Type="http://schemas.openxmlformats.org/officeDocument/2006/relationships/hyperlink" Target="https://ses.digtp.com/ApprovalProcess/Document?DocumentId=98b21834-d58a-4c94-b36b-c86d8106977b" TargetMode="External"/><Relationship Id="rId25" Type="http://schemas.openxmlformats.org/officeDocument/2006/relationships/hyperlink" Target="https://ses.digtp.com/ApprovalProcess/Document?DocumentId=205c2eea-c1b1-4c89-8b74-21e546e1b918" TargetMode="External"/><Relationship Id="rId46" Type="http://schemas.openxmlformats.org/officeDocument/2006/relationships/hyperlink" Target="https://ses.digtp.com/ApprovalProcess/Document?DocumentId=5f353688-bbce-4789-9185-8661aa4b6606" TargetMode="External"/><Relationship Id="rId67" Type="http://schemas.openxmlformats.org/officeDocument/2006/relationships/hyperlink" Target="https://ses.digtp.com/ApprovalProcess/Document?DocumentId=770f3a92-9f13-42ad-bdd4-895e538a9db7" TargetMode="External"/><Relationship Id="rId116" Type="http://schemas.openxmlformats.org/officeDocument/2006/relationships/hyperlink" Target="https://ses.digtp.com/ApprovalProcess/Document?DocumentId=ec9dcc0f-bfaa-4e3c-8949-52665089ac6b" TargetMode="External"/><Relationship Id="rId137" Type="http://schemas.openxmlformats.org/officeDocument/2006/relationships/hyperlink" Target="mailto:alkadpto@yandex.ru" TargetMode="External"/><Relationship Id="rId158" Type="http://schemas.openxmlformats.org/officeDocument/2006/relationships/hyperlink" Target="https://ses.digtp.com/ApprovalProcess/Document?DocumentId=7df9a5b9-004e-414a-b3e9-8045771410b2" TargetMode="External"/><Relationship Id="rId20" Type="http://schemas.openxmlformats.org/officeDocument/2006/relationships/hyperlink" Target="https://ses.digtp.com/ApprovalProcess/Document?DocumentId=bea9d794-1ae1-4e2f-9c2e-d7a0fb5dda06" TargetMode="External"/><Relationship Id="rId41" Type="http://schemas.openxmlformats.org/officeDocument/2006/relationships/hyperlink" Target="https://ses.digtp.com/ApprovalProcess/Document?DocumentId=e1dfcef3-5c91-492e-a89e-f24a073ee14a" TargetMode="External"/><Relationship Id="rId62" Type="http://schemas.openxmlformats.org/officeDocument/2006/relationships/hyperlink" Target="https://ses.digtp.com/ApprovalProcess/Document?DocumentId=e80b9ef5-1673-48ac-9ae2-8733de5d6e53" TargetMode="External"/><Relationship Id="rId83" Type="http://schemas.openxmlformats.org/officeDocument/2006/relationships/hyperlink" Target="https://ses.digtp.com/ApprovalProcess/Document?DocumentId=49a9318b-d0b5-4127-976b-d144bc925557" TargetMode="External"/><Relationship Id="rId88" Type="http://schemas.openxmlformats.org/officeDocument/2006/relationships/hyperlink" Target="https://ses.digtp.com/ApprovalProcess/Document?DocumentId=8b200efa-669b-4244-b0db-210fb80c11d0" TargetMode="External"/><Relationship Id="rId111" Type="http://schemas.openxmlformats.org/officeDocument/2006/relationships/hyperlink" Target="mailto:info@mscom.su" TargetMode="External"/><Relationship Id="rId132" Type="http://schemas.openxmlformats.org/officeDocument/2006/relationships/hyperlink" Target="https://ses.digtp.com/ApprovalProcess/Document?DocumentId=775f2175-ad26-4b59-98f9-31ad082c0948" TargetMode="External"/><Relationship Id="rId153" Type="http://schemas.openxmlformats.org/officeDocument/2006/relationships/hyperlink" Target="https://ses.digtp.com/ApprovalProcess/Document?DocumentId=5bc82015-aa01-48ad-995a-26b1ce105764" TargetMode="External"/><Relationship Id="rId15" Type="http://schemas.openxmlformats.org/officeDocument/2006/relationships/hyperlink" Target="https://ses.digtp.com/ApprovalProcess/Document?DocumentId=e2425ca2-074e-47ec-a138-986f46758058" TargetMode="External"/><Relationship Id="rId36" Type="http://schemas.openxmlformats.org/officeDocument/2006/relationships/hyperlink" Target="https://ses.digtp.com/ApprovalProcess/Document?DocumentId=ebb9d42f-b2f4-475c-87d0-e34a7e348763" TargetMode="External"/><Relationship Id="rId57" Type="http://schemas.openxmlformats.org/officeDocument/2006/relationships/hyperlink" Target="https://ses.digtp.com/ApprovalProcess/Document?DocumentId=c57b1414-00eb-42b1-9f6e-daa0089f208a" TargetMode="External"/><Relationship Id="rId106" Type="http://schemas.openxmlformats.org/officeDocument/2006/relationships/hyperlink" Target="https://ses.digtp.com/ApprovalProcess/Document?DocumentId=071f7e44-c493-466f-9ec2-86d4189e060e" TargetMode="External"/><Relationship Id="rId127" Type="http://schemas.openxmlformats.org/officeDocument/2006/relationships/hyperlink" Target="https://ses.digtp.com/ApprovalProcess/Document?DocumentId=220d4693-9193-400f-9d05-ad1abd2701ea" TargetMode="External"/><Relationship Id="rId10" Type="http://schemas.openxmlformats.org/officeDocument/2006/relationships/hyperlink" Target="https://ses.digtp.com/ApprovalProcess/Document?DocumentId=63cefe32-f2e6-4ac2-82bb-933896603ab3" TargetMode="External"/><Relationship Id="rId31" Type="http://schemas.openxmlformats.org/officeDocument/2006/relationships/hyperlink" Target="https://ses.digtp.com/ApprovalProcess/Document?DocumentId=d6d9f8ed-042b-4779-a9fb-b66e6b527799" TargetMode="External"/><Relationship Id="rId52" Type="http://schemas.openxmlformats.org/officeDocument/2006/relationships/hyperlink" Target="mailto:stroy-master.dv@mail.ru" TargetMode="External"/><Relationship Id="rId73" Type="http://schemas.openxmlformats.org/officeDocument/2006/relationships/hyperlink" Target="mailto:office@ergc.ru" TargetMode="External"/><Relationship Id="rId78" Type="http://schemas.openxmlformats.org/officeDocument/2006/relationships/hyperlink" Target="mailto:energorem@rushydro.ru" TargetMode="External"/><Relationship Id="rId94" Type="http://schemas.openxmlformats.org/officeDocument/2006/relationships/hyperlink" Target="mailto:office@ooo-kem.ru" TargetMode="External"/><Relationship Id="rId99" Type="http://schemas.openxmlformats.org/officeDocument/2006/relationships/hyperlink" Target="mailto:info@mscom.su" TargetMode="External"/><Relationship Id="rId101" Type="http://schemas.openxmlformats.org/officeDocument/2006/relationships/hyperlink" Target="mailto:profreserv.krs@mail.ru" TargetMode="External"/><Relationship Id="rId122" Type="http://schemas.openxmlformats.org/officeDocument/2006/relationships/hyperlink" Target="https://ses.digtp.com/ApprovalProcess/Document?DocumentId=d32f5954-0b83-46bf-b7fe-5f3c334067a7" TargetMode="External"/><Relationship Id="rId143" Type="http://schemas.openxmlformats.org/officeDocument/2006/relationships/hyperlink" Target="https://ses.digtp.com/ApprovalProcess/Document?DocumentId=8968abb0-3376-4d87-ac90-19c47aae9bea" TargetMode="External"/><Relationship Id="rId148" Type="http://schemas.openxmlformats.org/officeDocument/2006/relationships/hyperlink" Target="mailto:ooo-esm19@mail.ru" TargetMode="External"/><Relationship Id="rId164" Type="http://schemas.openxmlformats.org/officeDocument/2006/relationships/hyperlink" Target="https://ses.digtp.com/ApprovalProcess/Document?DocumentId=f8708287-abce-4ae0-b0e0-02c2bd867f40" TargetMode="External"/><Relationship Id="rId169" Type="http://schemas.openxmlformats.org/officeDocument/2006/relationships/hyperlink" Target="https://ses.digtp.com/ApprovalProcess/Document?DocumentId=b61d1ff7-6e7b-4c0f-a70a-4d9e3334d194" TargetMode="External"/><Relationship Id="rId4" Type="http://schemas.openxmlformats.org/officeDocument/2006/relationships/hyperlink" Target="https://ses.digtp.com/ApprovalProcess/Document?DocumentId=f9b451e3-b9c1-4d53-ace3-8dae0d71f234" TargetMode="External"/><Relationship Id="rId9" Type="http://schemas.openxmlformats.org/officeDocument/2006/relationships/hyperlink" Target="https://ses.digtp.com/ApprovalProcess/Document?DocumentId=33378692-eb2e-4c4a-a61a-6c1386bad034" TargetMode="External"/><Relationship Id="rId26" Type="http://schemas.openxmlformats.org/officeDocument/2006/relationships/hyperlink" Target="https://ses.digtp.com/ApprovalProcess/Document?DocumentId=f7a3ad19-8b12-46ab-8fea-c17314e0ee34" TargetMode="External"/><Relationship Id="rId47" Type="http://schemas.openxmlformats.org/officeDocument/2006/relationships/hyperlink" Target="https://ses.digtp.com/ApprovalProcess/Document?DocumentId=05c7c681-318c-4c5c-b854-3fceea0f7dfe" TargetMode="External"/><Relationship Id="rId68" Type="http://schemas.openxmlformats.org/officeDocument/2006/relationships/hyperlink" Target="https://ses.digtp.com/ApprovalProcess/Document?DocumentId=40a72003-e509-4d38-998b-953e11fba502" TargetMode="External"/><Relationship Id="rId89" Type="http://schemas.openxmlformats.org/officeDocument/2006/relationships/hyperlink" Target="https://ses.digtp.com/ApprovalProcess/Document?DocumentId=f0faa69b-3274-43cd-8301-d08eac517dce" TargetMode="External"/><Relationship Id="rId112" Type="http://schemas.openxmlformats.org/officeDocument/2006/relationships/hyperlink" Target="https://ses.digtp.com/ApprovalProcess/Document?DocumentId=078e8f24-1089-43e6-abae-fb0c29367db6" TargetMode="External"/><Relationship Id="rId133" Type="http://schemas.openxmlformats.org/officeDocument/2006/relationships/hyperlink" Target="https://ses.digtp.com/ApprovalProcess/Document?DocumentId=245753e8-c275-4ed7-a73c-586f221aa7dd" TargetMode="External"/><Relationship Id="rId154" Type="http://schemas.openxmlformats.org/officeDocument/2006/relationships/hyperlink" Target="https://ses.digtp.com/ApprovalProcess/Document?DocumentId=c9edbca0-202d-4d68-8d58-c78a8de9f4b1" TargetMode="External"/><Relationship Id="rId16" Type="http://schemas.openxmlformats.org/officeDocument/2006/relationships/hyperlink" Target="https://ses.digtp.com/ApprovalProcess/Document?DocumentId=beeb2fc8-6405-4455-a63c-5dfa3637df66" TargetMode="External"/><Relationship Id="rId37" Type="http://schemas.openxmlformats.org/officeDocument/2006/relationships/hyperlink" Target="https://ses.digtp.com/ApprovalProcess/Document?DocumentId=391aa8f1-8c37-4779-92ca-6eae79a981c5" TargetMode="External"/><Relationship Id="rId58" Type="http://schemas.openxmlformats.org/officeDocument/2006/relationships/hyperlink" Target="mailto:ktmz@ktmz-krg.kz" TargetMode="External"/><Relationship Id="rId79" Type="http://schemas.openxmlformats.org/officeDocument/2006/relationships/hyperlink" Target="https://ses.digtp.com/ApprovalProcess/Document?DocumentId=1a08281d-eab5-40b5-be8b-d44a256f2ff1" TargetMode="External"/><Relationship Id="rId102" Type="http://schemas.openxmlformats.org/officeDocument/2006/relationships/hyperlink" Target="https://ses.digtp.com/ApprovalProcess/Document?DocumentId=8baedbd5-fc2f-4c28-928a-a050b312afb7" TargetMode="External"/><Relationship Id="rId123" Type="http://schemas.openxmlformats.org/officeDocument/2006/relationships/hyperlink" Target="mailto:alkadpto@yandex.ru" TargetMode="External"/><Relationship Id="rId144" Type="http://schemas.openxmlformats.org/officeDocument/2006/relationships/hyperlink" Target="https://ses.digtp.com/ApprovalProcess/Document?DocumentId=7496eb6f-46d1-4e9a-9bb0-46054086892a" TargetMode="External"/><Relationship Id="rId90" Type="http://schemas.openxmlformats.org/officeDocument/2006/relationships/hyperlink" Target="https://ses.digtp.com/ApprovalProcess/Document?DocumentId=4bf66931-ade3-411c-b8f1-44c5101ad0d4" TargetMode="External"/><Relationship Id="rId165" Type="http://schemas.openxmlformats.org/officeDocument/2006/relationships/hyperlink" Target="https://ses.digtp.com/ApprovalProcess/Document?DocumentId=f2358b74-3306-417f-bd7f-e7e3f50ec551" TargetMode="External"/><Relationship Id="rId27" Type="http://schemas.openxmlformats.org/officeDocument/2006/relationships/hyperlink" Target="mailto:info@emtstroy.ru" TargetMode="External"/><Relationship Id="rId48" Type="http://schemas.openxmlformats.org/officeDocument/2006/relationships/hyperlink" Target="mailto:urist@mps-dv.ru" TargetMode="External"/><Relationship Id="rId69" Type="http://schemas.openxmlformats.org/officeDocument/2006/relationships/hyperlink" Target="mailto:pek111@inbox.ru" TargetMode="External"/><Relationship Id="rId113" Type="http://schemas.openxmlformats.org/officeDocument/2006/relationships/hyperlink" Target="mailto:info@decor-pfp.com" TargetMode="External"/><Relationship Id="rId134" Type="http://schemas.openxmlformats.org/officeDocument/2006/relationships/hyperlink" Target="mailto:office_gidrom@mail.ru" TargetMode="External"/><Relationship Id="rId80" Type="http://schemas.openxmlformats.org/officeDocument/2006/relationships/hyperlink" Target="https://ses.digtp.com/ApprovalProcess/Document?DocumentId=007c24d7-30d3-4243-b15c-fefe38017171" TargetMode="External"/><Relationship Id="rId155" Type="http://schemas.openxmlformats.org/officeDocument/2006/relationships/hyperlink" Target="https://ses.digtp.com/ApprovalProcess/Document?DocumentId=65aaf8c3-0d0b-4839-ba2f-3e6a52205d51" TargetMode="External"/><Relationship Id="rId17" Type="http://schemas.openxmlformats.org/officeDocument/2006/relationships/hyperlink" Target="https://ses.digtp.com/ApprovalProcess/Document?DocumentId=d22bb699-18c1-40ae-ad84-1bc82759ac34" TargetMode="External"/><Relationship Id="rId38" Type="http://schemas.openxmlformats.org/officeDocument/2006/relationships/hyperlink" Target="mailto:priemnayaIAC@sibgenco.ru" TargetMode="External"/><Relationship Id="rId59" Type="http://schemas.openxmlformats.org/officeDocument/2006/relationships/hyperlink" Target="https://ses.digtp.com/ApprovalProcess/Document?DocumentId=2574f75e-cf86-4c07-ad67-154f75d7e4e9" TargetMode="External"/><Relationship Id="rId103" Type="http://schemas.openxmlformats.org/officeDocument/2006/relationships/hyperlink" Target="mailto:dieva.m@energy-solution.ru" TargetMode="External"/><Relationship Id="rId124" Type="http://schemas.openxmlformats.org/officeDocument/2006/relationships/hyperlink" Target="https://ses.digtp.com/ApprovalProcess/Document?DocumentId=621aa200-90a6-428b-86be-c531950466e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ses.digtp.com/ApprovalProcess/Document?DocumentId=9cde7600-2313-4197-8b0b-6d033cc1ff5f" TargetMode="External"/><Relationship Id="rId18" Type="http://schemas.openxmlformats.org/officeDocument/2006/relationships/hyperlink" Target="https://ses.digtp.com/ApprovalProcess/Document?DocumentId=a5823023-b3e0-4e5e-ab7d-d3e09cc77d03" TargetMode="External"/><Relationship Id="rId26" Type="http://schemas.openxmlformats.org/officeDocument/2006/relationships/hyperlink" Target="https://ses.digtp.com/ApprovalProcess/Document?DocumentId=9d032b6f-57d0-42e9-a831-7fce71478797" TargetMode="External"/><Relationship Id="rId3" Type="http://schemas.openxmlformats.org/officeDocument/2006/relationships/hyperlink" Target="https://ses.digtp.com/ApprovalProcess/Document?DocumentId=7a0517aa-33de-48f3-8a91-3eac5d4cb846" TargetMode="External"/><Relationship Id="rId21" Type="http://schemas.openxmlformats.org/officeDocument/2006/relationships/hyperlink" Target="https://ses.suek.ru/ApprovalProcess/Document?DocumentId=01a3a172-edc3-42a6-9ded-5c8db0db747e" TargetMode="External"/><Relationship Id="rId7" Type="http://schemas.openxmlformats.org/officeDocument/2006/relationships/hyperlink" Target="https://ses.digtp.com/ApprovalProcess/Document?DocumentId=55294f33-f7e4-4d30-b6bb-4e1185ef7208" TargetMode="External"/><Relationship Id="rId12" Type="http://schemas.openxmlformats.org/officeDocument/2006/relationships/hyperlink" Target="https://ses.digtp.com/ApprovalProcess/Document?DocumentId=5eb861a8-4d45-4ef3-af89-311c4bd4028a" TargetMode="External"/><Relationship Id="rId17" Type="http://schemas.openxmlformats.org/officeDocument/2006/relationships/hyperlink" Target="https://ses.digtp.com/ApprovalProcess/Document?DocumentId=e4423da8-5f70-45fb-bea1-0dd768da98eb" TargetMode="External"/><Relationship Id="rId25" Type="http://schemas.openxmlformats.org/officeDocument/2006/relationships/hyperlink" Target="https://ses.digtp.com/ApprovalProcess/Document?DocumentId=0aa2b7b5-c5a2-4953-8a70-e80b74a93e74" TargetMode="External"/><Relationship Id="rId33" Type="http://schemas.openxmlformats.org/officeDocument/2006/relationships/comments" Target="../comments1.xml"/><Relationship Id="rId2" Type="http://schemas.openxmlformats.org/officeDocument/2006/relationships/hyperlink" Target="https://ses.suek.ru/ApprovalProcess/Document?DocumentId=057f31de-aed3-4204-b53b-f332e03546ac" TargetMode="External"/><Relationship Id="rId16" Type="http://schemas.openxmlformats.org/officeDocument/2006/relationships/hyperlink" Target="https://ses.digtp.com/ApprovalProcess/Document?DocumentId=3f051eaa-68cc-4a40-8e10-86617d4a46ee" TargetMode="External"/><Relationship Id="rId20" Type="http://schemas.openxmlformats.org/officeDocument/2006/relationships/hyperlink" Target="https://ses.suek.ru/ApprovalProcess/Document?DocumentId=0ce48fc7-2a68-458d-b4d2-8e94b43b1a7c" TargetMode="External"/><Relationship Id="rId29" Type="http://schemas.openxmlformats.org/officeDocument/2006/relationships/hyperlink" Target="https://ses.digtp.com/ApprovalProcess/Document?DocumentId=382354ca-5797-444a-ab3d-9afa6c143d2f" TargetMode="External"/><Relationship Id="rId1" Type="http://schemas.openxmlformats.org/officeDocument/2006/relationships/hyperlink" Target="https://ses.digtp.com/ApprovalProcess/Document?DocumentId=285a5222-ed15-45f4-9f61-2dd89cac9ac9" TargetMode="External"/><Relationship Id="rId6" Type="http://schemas.openxmlformats.org/officeDocument/2006/relationships/hyperlink" Target="https://ses.digtp.com/ApprovalProcess/Document?DocumentId=bc94524e-f991-45b2-8ef5-01dddc0c1b62" TargetMode="External"/><Relationship Id="rId11" Type="http://schemas.openxmlformats.org/officeDocument/2006/relationships/hyperlink" Target="../AppData/Local/Microsoft/Windows/INetCache/KornevaKO/AppData/Local/Microsoft/Windows/INetCache/Content.Outlook/AppData/Local/Microsoft/Windows/INetCache/ShevaleEV/AppData/Local/Microsoft/Windows/INetCache/Content.Outlook/I2A4TVJ6/Attachment%20(031).html" TargetMode="External"/><Relationship Id="rId24" Type="http://schemas.openxmlformats.org/officeDocument/2006/relationships/hyperlink" Target="https://ses.digtp.com/ApprovalProcess/Document?DocumentId=919a279b-8de7-4815-9e74-33aa14e1aa73" TargetMode="External"/><Relationship Id="rId32" Type="http://schemas.openxmlformats.org/officeDocument/2006/relationships/vmlDrawing" Target="../drawings/vmlDrawing1.vml"/><Relationship Id="rId5" Type="http://schemas.openxmlformats.org/officeDocument/2006/relationships/hyperlink" Target="https://ses.digtp.com/ApprovalProcess/Document?DocumentId=f7936cb9-fb01-460c-94f6-cc484b2f4394" TargetMode="External"/><Relationship Id="rId15" Type="http://schemas.openxmlformats.org/officeDocument/2006/relationships/hyperlink" Target="https://ses.digtp.com/ApprovalProcess/Document?DocumentId=b27d766a-bd34-4965-9da6-a6900acb8741" TargetMode="External"/><Relationship Id="rId23" Type="http://schemas.openxmlformats.org/officeDocument/2006/relationships/hyperlink" Target="https://ses.suek.ru/ApprovalProcess/Document?DocumentId=7b1f9a1c-740d-4b2f-a6b2-aa815b231cb0" TargetMode="External"/><Relationship Id="rId28" Type="http://schemas.openxmlformats.org/officeDocument/2006/relationships/hyperlink" Target="https://ses.digtp.com/ApprovalProcess/Document?DocumentId=48cf8906-7d5b-4bf5-a3ea-b23a69cf4e81" TargetMode="External"/><Relationship Id="rId10" Type="http://schemas.openxmlformats.org/officeDocument/2006/relationships/hyperlink" Target="https://ses.digtp.com/ApprovalProcess/Document?DocumentId=18963893-b8f7-4fd2-a35e-6b396dc14e90" TargetMode="External"/><Relationship Id="rId19" Type="http://schemas.openxmlformats.org/officeDocument/2006/relationships/hyperlink" Target="https://ses.digtp.com/ApprovalProcess/Document?DocumentId=cc24687c-61a9-41a6-96d3-5fc4d2a38b54" TargetMode="External"/><Relationship Id="rId31" Type="http://schemas.openxmlformats.org/officeDocument/2006/relationships/printerSettings" Target="../printerSettings/printerSettings4.bin"/><Relationship Id="rId4" Type="http://schemas.openxmlformats.org/officeDocument/2006/relationships/hyperlink" Target="https://ses.digtp.com/ApprovalProcess/Document?DocumentId=9bf76fbd-d02f-4781-9302-598af4357360" TargetMode="External"/><Relationship Id="rId9" Type="http://schemas.openxmlformats.org/officeDocument/2006/relationships/hyperlink" Target="https://ses.digtp.com/ApprovalProcess/Document?DocumentId=2e14987b-49fe-41b4-b50c-9a12941b83e5" TargetMode="External"/><Relationship Id="rId14" Type="http://schemas.openxmlformats.org/officeDocument/2006/relationships/hyperlink" Target="https://ses.digtp.com/ApprovalProcess/Document?DocumentId=e5c3063e-47d4-4bd7-9a12-e0a33e544f48" TargetMode="External"/><Relationship Id="rId22" Type="http://schemas.openxmlformats.org/officeDocument/2006/relationships/hyperlink" Target="https://ses.suek.ru/ApprovalProcess/Document?DocumentId=7b1f9a1c-740d-4b2f-a6b2-aa815b231cb0" TargetMode="External"/><Relationship Id="rId27" Type="http://schemas.openxmlformats.org/officeDocument/2006/relationships/hyperlink" Target="https://ses.digtp.com/ApprovalProcess/Document?DocumentId=8b026de2-725c-46af-b99d-cffdec727a17" TargetMode="External"/><Relationship Id="rId30" Type="http://schemas.openxmlformats.org/officeDocument/2006/relationships/hyperlink" Target="https://ses.digtp.com/ApprovalProcess/Document?DocumentId=6aef0f2a-5194-4b6b-9b3a-aba11cc48cd4" TargetMode="External"/><Relationship Id="rId8" Type="http://schemas.openxmlformats.org/officeDocument/2006/relationships/hyperlink" Target="https://ses.digtp.com/ApprovalProcess/Document?DocumentId=7f91ea3e-28b0-438b-bb8e-0949626dfae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es.digtp.com/ApprovalProcess/Document?DocumentId=4616a5f2-87bd-49a0-8b3d-697a939ce159" TargetMode="External"/><Relationship Id="rId3" Type="http://schemas.openxmlformats.org/officeDocument/2006/relationships/hyperlink" Target="https://ses.digtp.com/ApprovalProcess/Document?DocumentId=7314248e-6e94-425f-8f88-c88bec4f5e49" TargetMode="External"/><Relationship Id="rId7" Type="http://schemas.openxmlformats.org/officeDocument/2006/relationships/hyperlink" Target="https://ses.digtp.com/ApprovalProcess/Document?DocumentId=82bc6452-6f7e-40ea-bcd7-0ad4d04c2db1" TargetMode="External"/><Relationship Id="rId2" Type="http://schemas.openxmlformats.org/officeDocument/2006/relationships/hyperlink" Target="https://ses.digtp.com/ApprovalProcess/Document?DocumentId=7314248e-6e94-425f-8f88-c88bec4f5e49" TargetMode="External"/><Relationship Id="rId1" Type="http://schemas.openxmlformats.org/officeDocument/2006/relationships/hyperlink" Target="https://ses.digtp.com/ApprovalProcess/Document?DocumentId=4dd3e86b-8223-4d72-ac57-ca5f4923e24a" TargetMode="External"/><Relationship Id="rId6" Type="http://schemas.openxmlformats.org/officeDocument/2006/relationships/hyperlink" Target="https://ses.digtp.com/ApprovalProcess/Document?DocumentId=413055d6-a233-4ad8-8d23-0c8d38208bcf" TargetMode="External"/><Relationship Id="rId5" Type="http://schemas.openxmlformats.org/officeDocument/2006/relationships/hyperlink" Target="https://ses.digtp.com/ApprovalProcess/Document?DocumentId=413055d6-a233-4ad8-8d23-0c8d38208bcf" TargetMode="External"/><Relationship Id="rId10" Type="http://schemas.openxmlformats.org/officeDocument/2006/relationships/hyperlink" Target="https://ses.digtp.com/ApprovalProcess/Document?DocumentId=79db0c42-f828-45c4-8197-9ccdd2fc0474" TargetMode="External"/><Relationship Id="rId4" Type="http://schemas.openxmlformats.org/officeDocument/2006/relationships/hyperlink" Target="https://ses.digtp.com/ApprovalProcess/Document?DocumentId=ab7a1c7d-bee4-4409-a4ef-94e47b6223cb" TargetMode="External"/><Relationship Id="rId9" Type="http://schemas.openxmlformats.org/officeDocument/2006/relationships/hyperlink" Target="https://ses.digtp.com/ApprovalProcess/Document?DocumentId=fb994ddd-e0f3-48ca-ac9d-d6cb46bd260f"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ses.digtp.com/ApprovalProcess/Document?DocumentId=8bf967ea-8e78-4bae-ac5f-7ec4b8d63e9a" TargetMode="External"/><Relationship Id="rId18" Type="http://schemas.openxmlformats.org/officeDocument/2006/relationships/hyperlink" Target="https://ses.digtp.com/ApprovalProcess/Document?DocumentId=9c323317-a642-4149-a8f9-f96a33b966be" TargetMode="External"/><Relationship Id="rId26" Type="http://schemas.openxmlformats.org/officeDocument/2006/relationships/hyperlink" Target="mailto:Tsyganova_ZN@power-m.ru" TargetMode="External"/><Relationship Id="rId39" Type="http://schemas.openxmlformats.org/officeDocument/2006/relationships/hyperlink" Target="https://ses.digtp.com/ApprovalProcess/Document?DocumentId=e3335bce-a360-47bd-875c-a61d8202b30d" TargetMode="External"/><Relationship Id="rId21" Type="http://schemas.openxmlformats.org/officeDocument/2006/relationships/hyperlink" Target="https://ses.digtp.com/ApprovalProcess/Document?DocumentId=26083355-b066-467e-a1fe-ae60493c197a" TargetMode="External"/><Relationship Id="rId34" Type="http://schemas.openxmlformats.org/officeDocument/2006/relationships/hyperlink" Target="https://ses.digtp.com/ApprovalProcess/Document?DocumentId=f9bf5ce2-07ae-45a7-97c5-27de645252b4" TargetMode="External"/><Relationship Id="rId42" Type="http://schemas.openxmlformats.org/officeDocument/2006/relationships/hyperlink" Target="https://ses.digtp.com/ApprovalProcess/Document?DocumentId=631c251c-c4d7-4245-bdca-5309f5f8bcea" TargetMode="External"/><Relationship Id="rId7" Type="http://schemas.openxmlformats.org/officeDocument/2006/relationships/hyperlink" Target="https://ses.digtp.com/ApprovalProcess/Document?DocumentId=388ae7f8-3b3d-435b-93e0-a49d5474e334" TargetMode="External"/><Relationship Id="rId2" Type="http://schemas.openxmlformats.org/officeDocument/2006/relationships/hyperlink" Target="https://ses.digtp.com/ApprovalProcess/Document?DocumentId=145bf6de-a17e-434c-95e1-4356238c17ea" TargetMode="External"/><Relationship Id="rId16" Type="http://schemas.openxmlformats.org/officeDocument/2006/relationships/hyperlink" Target="https://ses.digtp.com/ApprovalProcess/Document?DocumentId=92172586-6fca-4cc2-80e4-0ec4ac893882" TargetMode="External"/><Relationship Id="rId29" Type="http://schemas.openxmlformats.org/officeDocument/2006/relationships/hyperlink" Target="https://ses.digtp.com/ApprovalProcess/Document?DocumentId=b48d27da-9880-4d83-9173-f5e4fded661b" TargetMode="External"/><Relationship Id="rId1" Type="http://schemas.openxmlformats.org/officeDocument/2006/relationships/hyperlink" Target="https://ses.digtp.com/ApprovalProcess/Document?DocumentId=9c72df0c-5911-4e2e-a9ee-73d4c1ef7d23" TargetMode="External"/><Relationship Id="rId6" Type="http://schemas.openxmlformats.org/officeDocument/2006/relationships/hyperlink" Target="https://ses.digtp.com/ApprovalProcess/Document?DocumentId=47ac5803-ba4f-461e-87e6-ad2ba7ab0d04" TargetMode="External"/><Relationship Id="rId11" Type="http://schemas.openxmlformats.org/officeDocument/2006/relationships/hyperlink" Target="https://ses.digtp.com/ApprovalProcess/Document?DocumentId=8d0cc947-6d43-4052-b6c4-ecc33443a61b" TargetMode="External"/><Relationship Id="rId24" Type="http://schemas.openxmlformats.org/officeDocument/2006/relationships/hyperlink" Target="https://ses.digtp.com/ApprovalProcess/Document?DocumentId=d84f005e-00cf-43e8-8432-a91c80232bce" TargetMode="External"/><Relationship Id="rId32" Type="http://schemas.openxmlformats.org/officeDocument/2006/relationships/hyperlink" Target="https://ses.digtp.com/ApprovalProcess/Document?DocumentId=a5ef5fe1-6bad-4dae-973b-7aa090753e41" TargetMode="External"/><Relationship Id="rId37" Type="http://schemas.openxmlformats.org/officeDocument/2006/relationships/hyperlink" Target="https://ses.digtp.com/ApprovalProcess/Document?DocumentId=a0889291-2e97-4c4a-bdab-30005b591ee2" TargetMode="External"/><Relationship Id="rId40" Type="http://schemas.openxmlformats.org/officeDocument/2006/relationships/hyperlink" Target="https://ses.digtp.com/ApprovalProcess/Document?DocumentId=81791a37-75e9-403a-a0a0-b2c9cd198854" TargetMode="External"/><Relationship Id="rId45" Type="http://schemas.openxmlformats.org/officeDocument/2006/relationships/printerSettings" Target="../printerSettings/printerSettings5.bin"/><Relationship Id="rId5" Type="http://schemas.openxmlformats.org/officeDocument/2006/relationships/hyperlink" Target="https://ses.digtp.com/ApprovalProcess/Document?DocumentId=ebcfbb89-f75e-40ee-8c99-b29527a8f412" TargetMode="External"/><Relationship Id="rId15" Type="http://schemas.openxmlformats.org/officeDocument/2006/relationships/hyperlink" Target="mailto:kem.oookem@yandex.com" TargetMode="External"/><Relationship Id="rId23" Type="http://schemas.openxmlformats.org/officeDocument/2006/relationships/hyperlink" Target="https://ses.suek.ru/ApprovalProcess/Document?DocumentId=69a8168a-2038-4dac-9110-0744f4ed048d" TargetMode="External"/><Relationship Id="rId28" Type="http://schemas.openxmlformats.org/officeDocument/2006/relationships/hyperlink" Target="https://ses.digtp.com/ApprovalProcess/Document?DocumentId=7be2de66-1d57-476f-b62f-7ca21c7dc753" TargetMode="External"/><Relationship Id="rId36" Type="http://schemas.openxmlformats.org/officeDocument/2006/relationships/hyperlink" Target="https://ses.digtp.com/ApprovalProcess/Document?DocumentId=5a02585a-d687-48eb-a31e-5603c0825229" TargetMode="External"/><Relationship Id="rId10" Type="http://schemas.openxmlformats.org/officeDocument/2006/relationships/hyperlink" Target="https://ses.digtp.com/ApprovalProcess/Document?DocumentId=a7280aa9-7048-4de3-88d2-62c744e60eb0" TargetMode="External"/><Relationship Id="rId19" Type="http://schemas.openxmlformats.org/officeDocument/2006/relationships/hyperlink" Target="https://ses.digtp.com/ApprovalProcess/Document?DocumentId=e5dfa321-2c19-432e-aa70-b19709dc3ba9" TargetMode="External"/><Relationship Id="rId31" Type="http://schemas.openxmlformats.org/officeDocument/2006/relationships/hyperlink" Target="mailto:stroy-master.dv@mail.ru" TargetMode="External"/><Relationship Id="rId44" Type="http://schemas.openxmlformats.org/officeDocument/2006/relationships/hyperlink" Target="mailto:Alkadpto@yandex.ru" TargetMode="External"/><Relationship Id="rId4" Type="http://schemas.openxmlformats.org/officeDocument/2006/relationships/hyperlink" Target="mailto:sss44@list.ru" TargetMode="External"/><Relationship Id="rId9" Type="http://schemas.openxmlformats.org/officeDocument/2006/relationships/hyperlink" Target="https://ses.digtp.com/ApprovalProcess/Document?DocumentId=2b48438c-2e4c-44d0-bdcb-fd0515c6ee0e" TargetMode="External"/><Relationship Id="rId14" Type="http://schemas.openxmlformats.org/officeDocument/2006/relationships/hyperlink" Target="mailto:revina@ooo-kem.ru" TargetMode="External"/><Relationship Id="rId22" Type="http://schemas.openxmlformats.org/officeDocument/2006/relationships/hyperlink" Target="mailto:daniyarova_fa@energoresurs.uz" TargetMode="External"/><Relationship Id="rId27" Type="http://schemas.openxmlformats.org/officeDocument/2006/relationships/hyperlink" Target="https://ses.digtp.com/ApprovalProcess/Document?DocumentId=5286c570-ef9f-47ea-8e2c-28fbf7086c6b" TargetMode="External"/><Relationship Id="rId30" Type="http://schemas.openxmlformats.org/officeDocument/2006/relationships/hyperlink" Target="mailto:suetinv@mail.ru" TargetMode="External"/><Relationship Id="rId35" Type="http://schemas.openxmlformats.org/officeDocument/2006/relationships/hyperlink" Target="mailto:daniyarova_fa@energoresurs.uz" TargetMode="External"/><Relationship Id="rId43" Type="http://schemas.openxmlformats.org/officeDocument/2006/relationships/hyperlink" Target="https://ses.digtp.com/ApprovalProcess/Document?DocumentId=a2e5ce58-c6d1-49fc-aced-dbdcbff26a4b" TargetMode="External"/><Relationship Id="rId8" Type="http://schemas.openxmlformats.org/officeDocument/2006/relationships/hyperlink" Target="https://ses.digtp.com/ApprovalProcess/Document?DocumentId=2b48438c-2e4c-44d0-bdcb-fd0515c6ee0e" TargetMode="External"/><Relationship Id="rId3" Type="http://schemas.openxmlformats.org/officeDocument/2006/relationships/hyperlink" Target="https://ses.digtp.com/ApprovalProcess/Document?DocumentId=d2415ef6-f4c1-424b-943f-b40f2f485e01" TargetMode="External"/><Relationship Id="rId12" Type="http://schemas.openxmlformats.org/officeDocument/2006/relationships/hyperlink" Target="https://ses.digtp.com/ApprovalProcess/Document?DocumentId=967afe3f-c8a1-4df5-a156-6fb734ac7b3b" TargetMode="External"/><Relationship Id="rId17" Type="http://schemas.openxmlformats.org/officeDocument/2006/relationships/hyperlink" Target="mailto:office@mt-team.ru" TargetMode="External"/><Relationship Id="rId25" Type="http://schemas.openxmlformats.org/officeDocument/2006/relationships/hyperlink" Target="https://ses.digtp.com/ApprovalProcess/Document?DocumentId=cfdd8b70-6f12-4dd3-ac11-db78cd7df159" TargetMode="External"/><Relationship Id="rId33" Type="http://schemas.openxmlformats.org/officeDocument/2006/relationships/hyperlink" Target="https://ses.digtp.com/ApprovalProcess/Document?DocumentId=b39a84fa-98cd-441c-935c-b7c83918b252" TargetMode="External"/><Relationship Id="rId38" Type="http://schemas.openxmlformats.org/officeDocument/2006/relationships/hyperlink" Target="https://ses.digtp.com/ApprovalProcess/Document?DocumentId=125c4a09-b58a-4aea-91b9-03bb7e84aab3" TargetMode="External"/><Relationship Id="rId20" Type="http://schemas.openxmlformats.org/officeDocument/2006/relationships/hyperlink" Target="https://ses.digtp.com/ApprovalProcess/Document?DocumentId=cfa0795d-25b2-4f32-a711-ebf3baceba37" TargetMode="External"/><Relationship Id="rId41" Type="http://schemas.openxmlformats.org/officeDocument/2006/relationships/hyperlink" Target="mailto:sasha19899891@yandex.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2"/>
  <sheetViews>
    <sheetView zoomScale="90" zoomScaleNormal="90" workbookViewId="0">
      <pane ySplit="2" topLeftCell="A3" activePane="bottomLeft" state="frozen"/>
      <selection activeCell="Z1" sqref="Z1"/>
      <selection pane="bottomLeft" activeCell="A6" sqref="A6"/>
    </sheetView>
  </sheetViews>
  <sheetFormatPr defaultColWidth="8.85546875" defaultRowHeight="15.75" x14ac:dyDescent="0.25"/>
  <cols>
    <col min="1" max="1" width="20.85546875" style="162" customWidth="1"/>
    <col min="2" max="2" width="20.28515625" style="162" hidden="1" customWidth="1"/>
    <col min="3" max="3" width="18.85546875" style="162" hidden="1" customWidth="1"/>
    <col min="4" max="4" width="17.5703125" style="162" customWidth="1"/>
    <col min="5" max="5" width="23" style="163" customWidth="1"/>
    <col min="6" max="6" width="16" style="162" customWidth="1"/>
    <col min="7" max="7" width="19.28515625" style="162" customWidth="1"/>
    <col min="8" max="8" width="32.85546875" style="164" customWidth="1"/>
    <col min="9" max="9" width="21.85546875" style="164" hidden="1" customWidth="1"/>
    <col min="10" max="10" width="21.28515625" style="165" customWidth="1"/>
    <col min="11" max="11" width="21.140625" style="165" customWidth="1"/>
    <col min="12" max="12" width="37.5703125" style="166" customWidth="1"/>
    <col min="13" max="13" width="34.7109375" style="164" customWidth="1"/>
    <col min="14" max="14" width="18.42578125" style="164" customWidth="1"/>
    <col min="15" max="15" width="29.5703125" style="167" hidden="1" customWidth="1"/>
    <col min="16" max="16" width="18" style="162" hidden="1" customWidth="1"/>
    <col min="17" max="17" width="16.140625" style="162" customWidth="1"/>
    <col min="18" max="18" width="21.85546875" style="162" customWidth="1"/>
    <col min="19" max="19" width="20.85546875" style="164" customWidth="1"/>
    <col min="20" max="20" width="20.140625" style="164" customWidth="1"/>
    <col min="21" max="21" width="23.7109375" style="168" hidden="1" customWidth="1"/>
    <col min="22" max="22" width="18.85546875" style="168" hidden="1" customWidth="1"/>
    <col min="23" max="23" width="30" style="168" hidden="1" customWidth="1"/>
    <col min="24" max="24" width="26.140625" style="169" hidden="1" customWidth="1"/>
    <col min="25" max="25" width="32.140625" style="169" hidden="1" customWidth="1"/>
    <col min="26" max="26" width="35.140625" style="170" hidden="1" customWidth="1"/>
    <col min="27" max="27" width="36.42578125" style="138" hidden="1" customWidth="1"/>
    <col min="28" max="28" width="23.28515625" style="170" hidden="1" customWidth="1"/>
    <col min="29" max="29" width="27.85546875" style="170" hidden="1" customWidth="1"/>
    <col min="30" max="30" width="30.5703125" style="170" hidden="1" customWidth="1"/>
    <col min="31" max="31" width="22.5703125" style="170" hidden="1" customWidth="1"/>
    <col min="32" max="32" width="28.140625" style="169" hidden="1" customWidth="1"/>
    <col min="33" max="33" width="32.28515625" style="169" hidden="1" customWidth="1"/>
    <col min="34" max="34" width="33.85546875" style="169" hidden="1" customWidth="1"/>
    <col min="35" max="35" width="28.140625" style="169" customWidth="1"/>
    <col min="36" max="36" width="50.5703125" style="169" customWidth="1"/>
    <col min="37" max="38" width="16" style="170" hidden="1" customWidth="1"/>
    <col min="39" max="39" width="14.42578125" style="138" hidden="1" customWidth="1"/>
    <col min="40" max="40" width="16.7109375" style="138" hidden="1" customWidth="1"/>
    <col min="41" max="41" width="17.5703125" style="138" hidden="1" customWidth="1"/>
    <col min="42" max="42" width="25.7109375" style="138" customWidth="1"/>
    <col min="43" max="16384" width="8.85546875" style="138"/>
  </cols>
  <sheetData>
    <row r="1" spans="1:42" s="2" customFormat="1" ht="56.25" customHeight="1" x14ac:dyDescent="0.25">
      <c r="A1" s="508" t="s">
        <v>0</v>
      </c>
      <c r="B1" s="500" t="s">
        <v>1</v>
      </c>
      <c r="C1" s="500" t="s">
        <v>8</v>
      </c>
      <c r="D1" s="511" t="s">
        <v>156</v>
      </c>
      <c r="E1" s="511" t="s">
        <v>2</v>
      </c>
      <c r="F1" s="506" t="s">
        <v>10</v>
      </c>
      <c r="G1" s="498" t="s">
        <v>157</v>
      </c>
      <c r="H1" s="500" t="s">
        <v>5</v>
      </c>
      <c r="I1" s="496" t="s">
        <v>7</v>
      </c>
      <c r="J1" s="502" t="s">
        <v>3</v>
      </c>
      <c r="K1" s="502" t="s">
        <v>158</v>
      </c>
      <c r="L1" s="504" t="s">
        <v>154</v>
      </c>
      <c r="M1" s="500" t="s">
        <v>160</v>
      </c>
      <c r="N1" s="500" t="s">
        <v>166</v>
      </c>
      <c r="O1" s="500" t="s">
        <v>159</v>
      </c>
      <c r="P1" s="500" t="s">
        <v>6</v>
      </c>
      <c r="Q1" s="496" t="s">
        <v>4</v>
      </c>
      <c r="R1" s="496" t="s">
        <v>155</v>
      </c>
      <c r="S1" s="491" t="s">
        <v>146</v>
      </c>
      <c r="T1" s="491" t="s">
        <v>147</v>
      </c>
      <c r="U1" s="492" t="s">
        <v>148</v>
      </c>
      <c r="V1" s="492"/>
      <c r="W1" s="493"/>
      <c r="X1" s="494" t="s">
        <v>152</v>
      </c>
      <c r="Y1" s="494" t="s">
        <v>153</v>
      </c>
      <c r="Z1" s="495" t="s">
        <v>161</v>
      </c>
      <c r="AA1" s="488" t="s">
        <v>9</v>
      </c>
      <c r="AB1" s="239"/>
      <c r="AC1" s="489" t="s">
        <v>578</v>
      </c>
      <c r="AD1" s="489"/>
      <c r="AE1" s="489"/>
      <c r="AF1" s="489"/>
      <c r="AG1" s="489"/>
      <c r="AH1" s="489"/>
      <c r="AI1" s="489"/>
      <c r="AJ1" s="489"/>
      <c r="AK1" s="489"/>
      <c r="AL1" s="489"/>
      <c r="AM1" s="490"/>
      <c r="AN1" s="490"/>
      <c r="AO1" s="490"/>
    </row>
    <row r="2" spans="1:42" s="2" customFormat="1" ht="48.6" customHeight="1" thickBot="1" x14ac:dyDescent="0.3">
      <c r="A2" s="509"/>
      <c r="B2" s="510"/>
      <c r="C2" s="510"/>
      <c r="D2" s="512"/>
      <c r="E2" s="512"/>
      <c r="F2" s="507"/>
      <c r="G2" s="499"/>
      <c r="H2" s="501"/>
      <c r="I2" s="497"/>
      <c r="J2" s="503"/>
      <c r="K2" s="503"/>
      <c r="L2" s="505"/>
      <c r="M2" s="501"/>
      <c r="N2" s="501"/>
      <c r="O2" s="501"/>
      <c r="P2" s="501"/>
      <c r="Q2" s="497"/>
      <c r="R2" s="497"/>
      <c r="S2" s="491"/>
      <c r="T2" s="491"/>
      <c r="U2" s="240" t="s">
        <v>149</v>
      </c>
      <c r="V2" s="240" t="s">
        <v>150</v>
      </c>
      <c r="W2" s="241" t="s">
        <v>151</v>
      </c>
      <c r="X2" s="494"/>
      <c r="Y2" s="494"/>
      <c r="Z2" s="495"/>
      <c r="AA2" s="488"/>
      <c r="AB2" s="67" t="s">
        <v>579</v>
      </c>
      <c r="AC2" s="67" t="s">
        <v>580</v>
      </c>
      <c r="AD2" s="238" t="s">
        <v>671</v>
      </c>
      <c r="AE2" s="238" t="s">
        <v>670</v>
      </c>
      <c r="AF2" s="209" t="s">
        <v>583</v>
      </c>
      <c r="AG2" s="209" t="s">
        <v>584</v>
      </c>
      <c r="AH2" s="209" t="s">
        <v>1056</v>
      </c>
      <c r="AI2" s="209" t="s">
        <v>671</v>
      </c>
      <c r="AJ2" s="209" t="s">
        <v>1126</v>
      </c>
      <c r="AK2" s="181" t="s">
        <v>673</v>
      </c>
      <c r="AL2" s="182" t="s">
        <v>674</v>
      </c>
      <c r="AM2" s="182" t="s">
        <v>675</v>
      </c>
      <c r="AN2" s="182" t="s">
        <v>676</v>
      </c>
      <c r="AO2" s="182" t="s">
        <v>677</v>
      </c>
    </row>
    <row r="3" spans="1:42" s="159" customFormat="1" ht="180" x14ac:dyDescent="0.25">
      <c r="A3" s="10" t="s">
        <v>21</v>
      </c>
      <c r="B3" s="46" t="s">
        <v>22</v>
      </c>
      <c r="C3" s="73">
        <v>6670347009</v>
      </c>
      <c r="D3" s="78">
        <v>1000100422</v>
      </c>
      <c r="E3" s="147" t="s">
        <v>23</v>
      </c>
      <c r="F3" s="244">
        <v>8000452751</v>
      </c>
      <c r="G3" s="148">
        <v>44666</v>
      </c>
      <c r="H3" s="45" t="s">
        <v>24</v>
      </c>
      <c r="I3" s="45" t="s">
        <v>103</v>
      </c>
      <c r="J3" s="79">
        <v>643000000</v>
      </c>
      <c r="K3" s="79"/>
      <c r="L3" s="14" t="s">
        <v>26</v>
      </c>
      <c r="M3" s="45">
        <v>44896</v>
      </c>
      <c r="N3" s="14">
        <v>45122</v>
      </c>
      <c r="O3" s="46" t="s">
        <v>25</v>
      </c>
      <c r="P3" s="73" t="s">
        <v>12</v>
      </c>
      <c r="Q3" s="73" t="s">
        <v>44</v>
      </c>
      <c r="R3" s="231">
        <v>691523631.94000006</v>
      </c>
      <c r="S3" s="231">
        <v>690881543.93999994</v>
      </c>
      <c r="T3" s="232">
        <v>0</v>
      </c>
      <c r="U3" s="47"/>
      <c r="V3" s="47"/>
      <c r="W3" s="82"/>
      <c r="X3" s="51" t="s">
        <v>628</v>
      </c>
      <c r="Y3" s="51" t="s">
        <v>629</v>
      </c>
      <c r="Z3" s="63" t="s">
        <v>625</v>
      </c>
      <c r="AA3" s="95"/>
      <c r="AB3" s="63"/>
      <c r="AC3" s="63" t="s">
        <v>586</v>
      </c>
      <c r="AD3" s="63" t="s">
        <v>588</v>
      </c>
      <c r="AE3" s="140"/>
      <c r="AF3" s="140"/>
      <c r="AG3" s="205"/>
      <c r="AH3" s="219"/>
      <c r="AI3" s="28" t="s">
        <v>1127</v>
      </c>
      <c r="AJ3" s="242" t="s">
        <v>1137</v>
      </c>
      <c r="AK3" s="235">
        <v>1</v>
      </c>
      <c r="AL3" s="48"/>
      <c r="AM3" s="48"/>
      <c r="AN3" s="48"/>
      <c r="AO3" s="48"/>
      <c r="AP3" s="183" t="s">
        <v>1165</v>
      </c>
    </row>
    <row r="4" spans="1:42" s="159" customFormat="1" ht="60" x14ac:dyDescent="0.25">
      <c r="A4" s="10" t="s">
        <v>21</v>
      </c>
      <c r="B4" s="46" t="s">
        <v>22</v>
      </c>
      <c r="C4" s="73">
        <v>6670347010</v>
      </c>
      <c r="D4" s="78"/>
      <c r="E4" s="147" t="s">
        <v>82</v>
      </c>
      <c r="F4" s="244">
        <v>9000401797</v>
      </c>
      <c r="G4" s="148">
        <v>45152</v>
      </c>
      <c r="H4" s="45" t="s">
        <v>81</v>
      </c>
      <c r="I4" s="45" t="s">
        <v>103</v>
      </c>
      <c r="J4" s="79">
        <v>101335574.02</v>
      </c>
      <c r="K4" s="79"/>
      <c r="L4" s="14" t="s">
        <v>11</v>
      </c>
      <c r="M4" s="45" t="s">
        <v>84</v>
      </c>
      <c r="N4" s="14"/>
      <c r="O4" s="46" t="s">
        <v>83</v>
      </c>
      <c r="P4" s="73" t="s">
        <v>77</v>
      </c>
      <c r="Q4" s="73" t="s">
        <v>44</v>
      </c>
      <c r="R4" s="231"/>
      <c r="S4" s="231"/>
      <c r="T4" s="232"/>
      <c r="U4" s="47"/>
      <c r="V4" s="47"/>
      <c r="W4" s="82"/>
      <c r="X4" s="51" t="s">
        <v>587</v>
      </c>
      <c r="Y4" s="51" t="s">
        <v>208</v>
      </c>
      <c r="Z4" s="63" t="s">
        <v>207</v>
      </c>
      <c r="AA4" s="95"/>
      <c r="AB4" s="63"/>
      <c r="AC4" s="63"/>
      <c r="AD4" s="63"/>
      <c r="AE4" s="140"/>
      <c r="AF4" s="140"/>
      <c r="AG4" s="205"/>
      <c r="AH4" s="219"/>
      <c r="AI4" s="95"/>
      <c r="AJ4" s="63"/>
      <c r="AK4" s="235"/>
      <c r="AL4" s="48"/>
      <c r="AM4" s="48"/>
      <c r="AN4" s="48"/>
      <c r="AO4" s="48"/>
      <c r="AP4" s="183"/>
    </row>
    <row r="5" spans="1:42" s="1" customFormat="1" x14ac:dyDescent="0.25">
      <c r="A5" s="21"/>
      <c r="B5" s="24"/>
      <c r="C5" s="21"/>
      <c r="D5" s="22"/>
      <c r="E5" s="251"/>
      <c r="F5" s="245"/>
      <c r="G5" s="8"/>
      <c r="H5" s="6"/>
      <c r="I5" s="6"/>
      <c r="J5" s="43"/>
      <c r="K5" s="39">
        <f>SUM(J3:J5)</f>
        <v>744335574.01999998</v>
      </c>
      <c r="L5" s="6"/>
      <c r="M5" s="6"/>
      <c r="N5" s="6"/>
      <c r="O5" s="6"/>
      <c r="P5" s="8"/>
      <c r="Q5" s="8"/>
      <c r="R5" s="65">
        <f>K5-R3</f>
        <v>52811942.079999924</v>
      </c>
      <c r="S5" s="6"/>
      <c r="T5" s="6"/>
      <c r="U5" s="35"/>
      <c r="V5" s="35"/>
      <c r="W5" s="35"/>
      <c r="X5" s="33"/>
      <c r="Y5" s="33"/>
      <c r="Z5" s="52"/>
      <c r="AA5" s="53"/>
      <c r="AB5" s="52"/>
      <c r="AC5" s="52"/>
      <c r="AD5" s="52"/>
      <c r="AE5" s="52"/>
      <c r="AF5" s="206"/>
      <c r="AG5" s="206"/>
      <c r="AH5" s="206"/>
      <c r="AI5" s="206"/>
      <c r="AJ5" s="206"/>
      <c r="AK5" s="243"/>
      <c r="AL5" s="52"/>
      <c r="AM5" s="52"/>
      <c r="AN5" s="52"/>
      <c r="AO5" s="52"/>
      <c r="AP5" s="183"/>
    </row>
    <row r="6" spans="1:42" s="159" customFormat="1" ht="120" x14ac:dyDescent="0.25">
      <c r="A6" s="10" t="s">
        <v>570</v>
      </c>
      <c r="B6" s="46" t="s">
        <v>571</v>
      </c>
      <c r="C6" s="73">
        <v>1644095331</v>
      </c>
      <c r="D6" s="78">
        <v>1000184376</v>
      </c>
      <c r="E6" s="147" t="s">
        <v>572</v>
      </c>
      <c r="F6" s="244">
        <v>8000746740</v>
      </c>
      <c r="G6" s="148">
        <v>45831</v>
      </c>
      <c r="H6" s="45" t="s">
        <v>573</v>
      </c>
      <c r="I6" s="45" t="s">
        <v>368</v>
      </c>
      <c r="J6" s="79">
        <v>132540924.93000001</v>
      </c>
      <c r="K6" s="79"/>
      <c r="L6" s="14" t="s">
        <v>574</v>
      </c>
      <c r="M6" s="45" t="s">
        <v>575</v>
      </c>
      <c r="N6" s="14"/>
      <c r="O6" s="46" t="s">
        <v>576</v>
      </c>
      <c r="P6" s="73" t="s">
        <v>168</v>
      </c>
      <c r="Q6" s="73" t="s">
        <v>105</v>
      </c>
      <c r="R6" s="231">
        <v>0</v>
      </c>
      <c r="S6" s="231">
        <v>5000000</v>
      </c>
      <c r="T6" s="232">
        <v>5000000</v>
      </c>
      <c r="U6" s="47"/>
      <c r="V6" s="47"/>
      <c r="W6" s="82"/>
      <c r="X6" s="51"/>
      <c r="Y6" s="51"/>
      <c r="Z6" s="63"/>
      <c r="AA6" s="95" t="s">
        <v>577</v>
      </c>
      <c r="AB6" s="63"/>
      <c r="AC6" s="63"/>
      <c r="AD6" s="63"/>
      <c r="AE6" s="140" t="s">
        <v>799</v>
      </c>
      <c r="AF6" s="140" t="s">
        <v>1028</v>
      </c>
      <c r="AG6" s="205" t="s">
        <v>1084</v>
      </c>
      <c r="AH6" s="219" t="s">
        <v>1037</v>
      </c>
      <c r="AI6" s="28" t="s">
        <v>1084</v>
      </c>
      <c r="AJ6" s="28" t="s">
        <v>1158</v>
      </c>
      <c r="AK6" s="235">
        <v>1</v>
      </c>
      <c r="AL6" s="48"/>
      <c r="AM6" s="48"/>
      <c r="AN6" s="48"/>
      <c r="AO6" s="48"/>
      <c r="AP6" s="183" t="s">
        <v>1166</v>
      </c>
    </row>
    <row r="7" spans="1:42" s="159" customFormat="1" ht="17.25" customHeight="1" x14ac:dyDescent="0.25">
      <c r="A7" s="8"/>
      <c r="B7" s="9"/>
      <c r="C7" s="9"/>
      <c r="D7" s="22"/>
      <c r="E7" s="114"/>
      <c r="F7" s="233"/>
      <c r="G7" s="180"/>
      <c r="H7" s="13"/>
      <c r="I7" s="13"/>
      <c r="J7" s="41"/>
      <c r="K7" s="41">
        <f>J6+K6</f>
        <v>132540924.93000001</v>
      </c>
      <c r="L7" s="15"/>
      <c r="M7" s="13"/>
      <c r="N7" s="15"/>
      <c r="O7" s="9"/>
      <c r="P7" s="9"/>
      <c r="Q7" s="9"/>
      <c r="R7" s="189">
        <f>K7-R6</f>
        <v>132540924.93000001</v>
      </c>
      <c r="S7" s="187"/>
      <c r="T7" s="187"/>
      <c r="U7" s="33"/>
      <c r="V7" s="33"/>
      <c r="W7" s="33"/>
      <c r="X7" s="33"/>
      <c r="Y7" s="33"/>
      <c r="Z7" s="52"/>
      <c r="AA7" s="27"/>
      <c r="AB7" s="33"/>
      <c r="AC7" s="33"/>
      <c r="AD7" s="33"/>
      <c r="AE7" s="33"/>
      <c r="AF7" s="33"/>
      <c r="AG7" s="208"/>
      <c r="AH7" s="33"/>
      <c r="AI7" s="33"/>
      <c r="AJ7" s="33"/>
      <c r="AK7" s="237"/>
      <c r="AL7" s="33"/>
      <c r="AM7" s="33"/>
      <c r="AN7" s="33"/>
      <c r="AO7" s="26"/>
      <c r="AP7" s="183"/>
    </row>
    <row r="8" spans="1:42" s="159" customFormat="1" ht="120" customHeight="1" x14ac:dyDescent="0.25">
      <c r="A8" s="25" t="s">
        <v>570</v>
      </c>
      <c r="B8" s="3" t="s">
        <v>571</v>
      </c>
      <c r="C8" s="3">
        <v>1644095331</v>
      </c>
      <c r="D8" s="18">
        <v>1000184376</v>
      </c>
      <c r="E8" s="112" t="s">
        <v>830</v>
      </c>
      <c r="F8" s="246">
        <v>8000749093</v>
      </c>
      <c r="G8" s="196">
        <v>45868</v>
      </c>
      <c r="H8" s="11" t="s">
        <v>831</v>
      </c>
      <c r="I8" s="11" t="s">
        <v>368</v>
      </c>
      <c r="J8" s="64">
        <v>85575021.560000002</v>
      </c>
      <c r="K8" s="64"/>
      <c r="L8" s="11" t="s">
        <v>11</v>
      </c>
      <c r="M8" s="11" t="s">
        <v>832</v>
      </c>
      <c r="N8" s="11"/>
      <c r="O8" s="25" t="s">
        <v>833</v>
      </c>
      <c r="P8" s="3" t="s">
        <v>168</v>
      </c>
      <c r="Q8" s="3" t="s">
        <v>476</v>
      </c>
      <c r="R8" s="231">
        <v>0</v>
      </c>
      <c r="S8" s="231">
        <v>5000000</v>
      </c>
      <c r="T8" s="232" t="s">
        <v>910</v>
      </c>
      <c r="U8" s="32"/>
      <c r="V8" s="32"/>
      <c r="W8" s="32"/>
      <c r="X8" s="32"/>
      <c r="Y8" s="32"/>
      <c r="Z8" s="28"/>
      <c r="AA8" s="54" t="s">
        <v>577</v>
      </c>
      <c r="AB8" s="26"/>
      <c r="AC8" s="26"/>
      <c r="AD8" s="26"/>
      <c r="AE8" s="140" t="s">
        <v>915</v>
      </c>
      <c r="AF8" s="140" t="s">
        <v>933</v>
      </c>
      <c r="AG8" s="205" t="s">
        <v>1093</v>
      </c>
      <c r="AH8" s="219" t="s">
        <v>1039</v>
      </c>
      <c r="AI8" s="28" t="s">
        <v>1093</v>
      </c>
      <c r="AJ8" s="28" t="s">
        <v>1138</v>
      </c>
      <c r="AK8" s="235">
        <v>1</v>
      </c>
      <c r="AL8" s="26"/>
      <c r="AM8" s="26"/>
      <c r="AN8" s="26"/>
      <c r="AO8" s="26"/>
      <c r="AP8" s="183" t="s">
        <v>1168</v>
      </c>
    </row>
    <row r="9" spans="1:42" s="159" customFormat="1" x14ac:dyDescent="0.25">
      <c r="A9" s="4"/>
      <c r="B9" s="4"/>
      <c r="C9" s="4"/>
      <c r="D9" s="30"/>
      <c r="E9" s="114"/>
      <c r="F9" s="247"/>
      <c r="G9" s="4"/>
      <c r="H9" s="15"/>
      <c r="I9" s="15"/>
      <c r="J9" s="55"/>
      <c r="K9" s="55">
        <f>J8+K8</f>
        <v>85575021.560000002</v>
      </c>
      <c r="L9" s="17"/>
      <c r="M9" s="15"/>
      <c r="N9" s="15"/>
      <c r="O9" s="8"/>
      <c r="P9" s="4"/>
      <c r="Q9" s="4"/>
      <c r="R9" s="189">
        <f>K9-R8</f>
        <v>85575021.560000002</v>
      </c>
      <c r="S9" s="15"/>
      <c r="T9" s="15"/>
      <c r="U9" s="33"/>
      <c r="V9" s="33"/>
      <c r="W9" s="33"/>
      <c r="X9" s="33"/>
      <c r="Y9" s="33"/>
      <c r="Z9" s="52"/>
      <c r="AA9" s="27"/>
      <c r="AB9" s="27"/>
      <c r="AC9" s="27"/>
      <c r="AD9" s="27"/>
      <c r="AE9" s="27"/>
      <c r="AF9" s="27"/>
      <c r="AG9" s="208"/>
      <c r="AH9" s="27"/>
      <c r="AI9" s="27"/>
      <c r="AJ9" s="33"/>
      <c r="AK9" s="234"/>
      <c r="AL9" s="27"/>
      <c r="AM9" s="27"/>
      <c r="AN9" s="27"/>
      <c r="AO9" s="27"/>
      <c r="AP9" s="183"/>
    </row>
    <row r="10" spans="1:42" s="159" customFormat="1" ht="126" customHeight="1" x14ac:dyDescent="0.25">
      <c r="A10" s="25" t="s">
        <v>570</v>
      </c>
      <c r="B10" s="3" t="s">
        <v>571</v>
      </c>
      <c r="C10" s="3">
        <v>1644095331</v>
      </c>
      <c r="D10" s="18">
        <v>1000184376</v>
      </c>
      <c r="E10" s="112" t="s">
        <v>834</v>
      </c>
      <c r="F10" s="246">
        <v>8000749639</v>
      </c>
      <c r="G10" s="196">
        <v>45868</v>
      </c>
      <c r="H10" s="11" t="s">
        <v>835</v>
      </c>
      <c r="I10" s="11" t="s">
        <v>645</v>
      </c>
      <c r="J10" s="64">
        <v>12471833.49</v>
      </c>
      <c r="K10" s="64"/>
      <c r="L10" s="11" t="s">
        <v>11</v>
      </c>
      <c r="M10" s="11" t="s">
        <v>832</v>
      </c>
      <c r="N10" s="11"/>
      <c r="O10" s="25" t="s">
        <v>836</v>
      </c>
      <c r="P10" s="3" t="s">
        <v>168</v>
      </c>
      <c r="Q10" s="3" t="s">
        <v>476</v>
      </c>
      <c r="R10" s="231">
        <v>0</v>
      </c>
      <c r="S10" s="231">
        <v>0</v>
      </c>
      <c r="T10" s="232">
        <v>0</v>
      </c>
      <c r="U10" s="32"/>
      <c r="V10" s="32"/>
      <c r="W10" s="32"/>
      <c r="X10" s="32"/>
      <c r="Y10" s="32"/>
      <c r="Z10" s="28"/>
      <c r="AA10" s="54" t="s">
        <v>577</v>
      </c>
      <c r="AB10" s="26"/>
      <c r="AC10" s="26"/>
      <c r="AD10" s="26"/>
      <c r="AE10" s="140" t="s">
        <v>916</v>
      </c>
      <c r="AF10" s="140" t="s">
        <v>933</v>
      </c>
      <c r="AG10" s="205" t="s">
        <v>1095</v>
      </c>
      <c r="AH10" s="219" t="s">
        <v>1039</v>
      </c>
      <c r="AI10" s="28" t="s">
        <v>1095</v>
      </c>
      <c r="AJ10" s="242" t="s">
        <v>1138</v>
      </c>
      <c r="AK10" s="235">
        <v>1</v>
      </c>
      <c r="AL10" s="26"/>
      <c r="AM10" s="26"/>
      <c r="AN10" s="26"/>
      <c r="AO10" s="26"/>
      <c r="AP10" s="183" t="s">
        <v>1165</v>
      </c>
    </row>
    <row r="11" spans="1:42" s="159" customFormat="1" x14ac:dyDescent="0.25">
      <c r="A11" s="4"/>
      <c r="B11" s="4"/>
      <c r="C11" s="4"/>
      <c r="D11" s="30"/>
      <c r="E11" s="114"/>
      <c r="F11" s="247"/>
      <c r="G11" s="4"/>
      <c r="H11" s="15"/>
      <c r="I11" s="15"/>
      <c r="J11" s="55"/>
      <c r="K11" s="55">
        <f>J10+K10</f>
        <v>12471833.49</v>
      </c>
      <c r="L11" s="17"/>
      <c r="M11" s="15"/>
      <c r="N11" s="15"/>
      <c r="O11" s="8"/>
      <c r="P11" s="4"/>
      <c r="Q11" s="4"/>
      <c r="R11" s="189">
        <f>K11-R10</f>
        <v>12471833.49</v>
      </c>
      <c r="S11" s="15"/>
      <c r="T11" s="15"/>
      <c r="U11" s="33"/>
      <c r="V11" s="33"/>
      <c r="W11" s="33"/>
      <c r="X11" s="33"/>
      <c r="Y11" s="33"/>
      <c r="Z11" s="52"/>
      <c r="AA11" s="27"/>
      <c r="AB11" s="27"/>
      <c r="AC11" s="27"/>
      <c r="AD11" s="27"/>
      <c r="AE11" s="27"/>
      <c r="AF11" s="27"/>
      <c r="AG11" s="208"/>
      <c r="AH11" s="27"/>
      <c r="AI11" s="27"/>
      <c r="AJ11" s="33"/>
      <c r="AK11" s="234"/>
      <c r="AL11" s="27"/>
      <c r="AM11" s="27"/>
      <c r="AN11" s="27"/>
      <c r="AO11" s="27"/>
      <c r="AP11" s="183"/>
    </row>
    <row r="12" spans="1:42" s="159" customFormat="1" ht="120" x14ac:dyDescent="0.25">
      <c r="A12" s="3" t="s">
        <v>868</v>
      </c>
      <c r="B12" s="25" t="s">
        <v>869</v>
      </c>
      <c r="C12" s="3">
        <v>1644095331</v>
      </c>
      <c r="D12" s="18">
        <v>1000184376</v>
      </c>
      <c r="E12" s="112" t="s">
        <v>870</v>
      </c>
      <c r="F12" s="248">
        <v>8000753821</v>
      </c>
      <c r="G12" s="84">
        <v>45868</v>
      </c>
      <c r="H12" s="11" t="s">
        <v>871</v>
      </c>
      <c r="I12" s="11" t="s">
        <v>645</v>
      </c>
      <c r="J12" s="64">
        <v>42964893.439999998</v>
      </c>
      <c r="K12" s="64"/>
      <c r="L12" s="16" t="s">
        <v>11</v>
      </c>
      <c r="M12" s="11" t="s">
        <v>832</v>
      </c>
      <c r="N12" s="11"/>
      <c r="O12" s="25" t="s">
        <v>872</v>
      </c>
      <c r="P12" s="3" t="s">
        <v>13</v>
      </c>
      <c r="Q12" s="3" t="s">
        <v>873</v>
      </c>
      <c r="R12" s="231">
        <v>0</v>
      </c>
      <c r="S12" s="231">
        <v>0</v>
      </c>
      <c r="T12" s="232">
        <v>0</v>
      </c>
      <c r="U12" s="32"/>
      <c r="V12" s="32"/>
      <c r="W12" s="32"/>
      <c r="X12" s="32"/>
      <c r="Y12" s="32"/>
      <c r="Z12" s="28"/>
      <c r="AA12" s="54" t="s">
        <v>577</v>
      </c>
      <c r="AB12" s="26"/>
      <c r="AC12" s="26"/>
      <c r="AD12" s="26"/>
      <c r="AE12" s="140" t="s">
        <v>921</v>
      </c>
      <c r="AF12" s="140" t="s">
        <v>933</v>
      </c>
      <c r="AG12" s="205" t="s">
        <v>1096</v>
      </c>
      <c r="AH12" s="219" t="s">
        <v>1039</v>
      </c>
      <c r="AI12" s="28" t="s">
        <v>1096</v>
      </c>
      <c r="AJ12" s="242" t="s">
        <v>1138</v>
      </c>
      <c r="AK12" s="235">
        <v>1</v>
      </c>
      <c r="AL12" s="26"/>
      <c r="AM12" s="26"/>
      <c r="AN12" s="26"/>
      <c r="AO12" s="26"/>
      <c r="AP12" s="183" t="s">
        <v>1165</v>
      </c>
    </row>
    <row r="13" spans="1:42" s="159" customFormat="1" x14ac:dyDescent="0.25">
      <c r="A13" s="4"/>
      <c r="B13" s="4"/>
      <c r="C13" s="4"/>
      <c r="D13" s="30"/>
      <c r="E13" s="114"/>
      <c r="F13" s="247"/>
      <c r="G13" s="4"/>
      <c r="H13" s="15"/>
      <c r="I13" s="15"/>
      <c r="J13" s="55"/>
      <c r="K13" s="55">
        <f>SUM(J12:J13)</f>
        <v>42964893.439999998</v>
      </c>
      <c r="L13" s="17"/>
      <c r="M13" s="15"/>
      <c r="N13" s="15"/>
      <c r="O13" s="8"/>
      <c r="P13" s="4"/>
      <c r="Q13" s="4"/>
      <c r="R13" s="189">
        <f>K13-R12</f>
        <v>42964893.439999998</v>
      </c>
      <c r="S13" s="15"/>
      <c r="T13" s="15"/>
      <c r="U13" s="33"/>
      <c r="V13" s="33"/>
      <c r="W13" s="33"/>
      <c r="X13" s="33"/>
      <c r="Y13" s="33"/>
      <c r="Z13" s="52"/>
      <c r="AA13" s="27"/>
      <c r="AB13" s="27"/>
      <c r="AC13" s="27"/>
      <c r="AD13" s="27"/>
      <c r="AE13" s="27"/>
      <c r="AF13" s="27"/>
      <c r="AG13" s="208"/>
      <c r="AH13" s="27"/>
      <c r="AI13" s="27"/>
      <c r="AJ13" s="27"/>
      <c r="AK13" s="234">
        <f>SUM(AK3:AK12)</f>
        <v>5</v>
      </c>
      <c r="AL13" s="27"/>
      <c r="AM13" s="27"/>
      <c r="AN13" s="27"/>
      <c r="AO13" s="27"/>
      <c r="AP13" s="183"/>
    </row>
    <row r="14" spans="1:42" s="159" customFormat="1" ht="75" x14ac:dyDescent="0.25">
      <c r="A14" s="113" t="s">
        <v>248</v>
      </c>
      <c r="B14" s="25" t="s">
        <v>249</v>
      </c>
      <c r="C14" s="3">
        <v>7805781254</v>
      </c>
      <c r="D14" s="18">
        <v>1000151430</v>
      </c>
      <c r="E14" s="112" t="s">
        <v>895</v>
      </c>
      <c r="F14" s="248">
        <v>8000747981</v>
      </c>
      <c r="G14" s="84">
        <v>45876</v>
      </c>
      <c r="H14" s="11" t="s">
        <v>896</v>
      </c>
      <c r="I14" s="11"/>
      <c r="J14" s="64">
        <v>86490463.859999999</v>
      </c>
      <c r="K14" s="64"/>
      <c r="L14" s="16" t="s">
        <v>11</v>
      </c>
      <c r="M14" s="11" t="s">
        <v>897</v>
      </c>
      <c r="N14" s="11"/>
      <c r="O14" s="25" t="s">
        <v>898</v>
      </c>
      <c r="P14" s="3" t="s">
        <v>881</v>
      </c>
      <c r="Q14" s="3" t="s">
        <v>903</v>
      </c>
      <c r="R14" s="231">
        <v>0</v>
      </c>
      <c r="S14" s="231">
        <v>0</v>
      </c>
      <c r="T14" s="232">
        <v>0</v>
      </c>
      <c r="U14" s="32"/>
      <c r="V14" s="32"/>
      <c r="W14" s="32"/>
      <c r="X14" s="32"/>
      <c r="Y14" s="32"/>
      <c r="Z14" s="28"/>
      <c r="AA14" s="54"/>
      <c r="AB14" s="26"/>
      <c r="AC14" s="26"/>
      <c r="AD14" s="26"/>
      <c r="AE14" s="140" t="s">
        <v>924</v>
      </c>
      <c r="AF14" s="140" t="s">
        <v>923</v>
      </c>
      <c r="AG14" s="205" t="s">
        <v>1103</v>
      </c>
      <c r="AH14" s="219" t="s">
        <v>1045</v>
      </c>
      <c r="AI14" s="28" t="s">
        <v>1103</v>
      </c>
      <c r="AJ14" s="242" t="s">
        <v>1132</v>
      </c>
      <c r="AK14" s="235"/>
      <c r="AL14" s="26"/>
      <c r="AM14" s="26"/>
      <c r="AN14" s="26"/>
      <c r="AO14" s="26"/>
      <c r="AP14" s="183" t="s">
        <v>1165</v>
      </c>
    </row>
    <row r="15" spans="1:42" s="159" customFormat="1" x14ac:dyDescent="0.25">
      <c r="A15" s="4"/>
      <c r="B15" s="4"/>
      <c r="C15" s="4"/>
      <c r="D15" s="30"/>
      <c r="E15" s="114"/>
      <c r="F15" s="247"/>
      <c r="G15" s="4"/>
      <c r="H15" s="15"/>
      <c r="I15" s="15"/>
      <c r="J15" s="55"/>
      <c r="K15" s="55">
        <f>SUM(J14)</f>
        <v>86490463.859999999</v>
      </c>
      <c r="L15" s="17"/>
      <c r="M15" s="15"/>
      <c r="N15" s="15"/>
      <c r="O15" s="8"/>
      <c r="P15" s="4"/>
      <c r="Q15" s="4"/>
      <c r="R15" s="189">
        <f>K15-R14</f>
        <v>86490463.859999999</v>
      </c>
      <c r="S15" s="15"/>
      <c r="T15" s="15"/>
      <c r="U15" s="33"/>
      <c r="V15" s="33"/>
      <c r="W15" s="33"/>
      <c r="X15" s="33"/>
      <c r="Y15" s="33"/>
      <c r="Z15" s="52"/>
      <c r="AA15" s="27"/>
      <c r="AB15" s="27"/>
      <c r="AC15" s="27"/>
      <c r="AD15" s="27"/>
      <c r="AE15" s="27"/>
      <c r="AF15" s="27"/>
      <c r="AG15" s="208"/>
      <c r="AH15" s="27"/>
      <c r="AI15" s="27"/>
      <c r="AJ15" s="27"/>
      <c r="AK15" s="234"/>
      <c r="AL15" s="27"/>
      <c r="AM15" s="27"/>
      <c r="AN15" s="27"/>
      <c r="AO15" s="27"/>
      <c r="AP15" s="183"/>
    </row>
    <row r="16" spans="1:42" s="159" customFormat="1" ht="165" x14ac:dyDescent="0.25">
      <c r="A16" s="3" t="s">
        <v>380</v>
      </c>
      <c r="B16" s="25" t="s">
        <v>31</v>
      </c>
      <c r="C16" s="3" t="s">
        <v>17</v>
      </c>
      <c r="D16" s="18">
        <v>1000128349</v>
      </c>
      <c r="E16" s="112" t="s">
        <v>381</v>
      </c>
      <c r="F16" s="248">
        <v>8000702722</v>
      </c>
      <c r="G16" s="84" t="s">
        <v>382</v>
      </c>
      <c r="H16" s="11" t="s">
        <v>383</v>
      </c>
      <c r="I16" s="11" t="s">
        <v>162</v>
      </c>
      <c r="J16" s="64">
        <v>18043221.949999999</v>
      </c>
      <c r="K16" s="64"/>
      <c r="L16" s="16" t="s">
        <v>384</v>
      </c>
      <c r="M16" s="11" t="s">
        <v>385</v>
      </c>
      <c r="N16" s="11"/>
      <c r="O16" s="25" t="s">
        <v>386</v>
      </c>
      <c r="P16" s="3" t="s">
        <v>13</v>
      </c>
      <c r="Q16" s="3" t="s">
        <v>39</v>
      </c>
      <c r="R16" s="231">
        <v>13338705</v>
      </c>
      <c r="S16" s="231">
        <v>13338705</v>
      </c>
      <c r="T16" s="232">
        <v>5412966.5899999999</v>
      </c>
      <c r="U16" s="32"/>
      <c r="V16" s="32"/>
      <c r="W16" s="32"/>
      <c r="X16" s="32"/>
      <c r="Y16" s="32"/>
      <c r="Z16" s="28"/>
      <c r="AA16" s="54" t="s">
        <v>206</v>
      </c>
      <c r="AB16" s="26"/>
      <c r="AC16" s="26"/>
      <c r="AD16" s="26"/>
      <c r="AE16" s="140" t="s">
        <v>934</v>
      </c>
      <c r="AF16" s="140" t="s">
        <v>804</v>
      </c>
      <c r="AG16" s="205" t="s">
        <v>962</v>
      </c>
      <c r="AH16" s="219"/>
      <c r="AI16" s="28" t="s">
        <v>962</v>
      </c>
      <c r="AJ16" s="242" t="s">
        <v>1136</v>
      </c>
      <c r="AK16" s="235"/>
      <c r="AL16" s="26"/>
      <c r="AM16" s="26"/>
      <c r="AN16" s="26"/>
      <c r="AO16" s="26"/>
      <c r="AP16" s="183" t="s">
        <v>1165</v>
      </c>
    </row>
    <row r="17" spans="1:42" s="159" customFormat="1" ht="60" x14ac:dyDescent="0.25">
      <c r="A17" s="3" t="s">
        <v>380</v>
      </c>
      <c r="B17" s="25" t="s">
        <v>31</v>
      </c>
      <c r="C17" s="3" t="s">
        <v>17</v>
      </c>
      <c r="D17" s="18">
        <v>1000128349</v>
      </c>
      <c r="E17" s="112" t="s">
        <v>735</v>
      </c>
      <c r="F17" s="248">
        <v>9000553873</v>
      </c>
      <c r="G17" s="84">
        <v>45840</v>
      </c>
      <c r="H17" s="11" t="s">
        <v>736</v>
      </c>
      <c r="I17" s="11" t="s">
        <v>162</v>
      </c>
      <c r="J17" s="64">
        <v>0</v>
      </c>
      <c r="K17" s="64"/>
      <c r="L17" s="16" t="s">
        <v>11</v>
      </c>
      <c r="M17" s="11" t="s">
        <v>737</v>
      </c>
      <c r="N17" s="11"/>
      <c r="O17" s="25" t="s">
        <v>738</v>
      </c>
      <c r="P17" s="3" t="s">
        <v>13</v>
      </c>
      <c r="Q17" s="3" t="s">
        <v>39</v>
      </c>
      <c r="R17" s="231"/>
      <c r="S17" s="231"/>
      <c r="T17" s="232"/>
      <c r="U17" s="32"/>
      <c r="V17" s="32"/>
      <c r="W17" s="32"/>
      <c r="X17" s="32"/>
      <c r="Y17" s="32"/>
      <c r="Z17" s="28"/>
      <c r="AA17" s="54"/>
      <c r="AB17" s="26"/>
      <c r="AC17" s="26"/>
      <c r="AD17" s="26"/>
      <c r="AE17" s="140"/>
      <c r="AF17" s="140"/>
      <c r="AG17" s="205"/>
      <c r="AH17" s="219"/>
      <c r="AI17" s="54"/>
      <c r="AJ17" s="242"/>
      <c r="AK17" s="235"/>
      <c r="AL17" s="26"/>
      <c r="AM17" s="26"/>
      <c r="AN17" s="26"/>
      <c r="AO17" s="26"/>
      <c r="AP17" s="183"/>
    </row>
    <row r="18" spans="1:42" s="159" customFormat="1" ht="17.25" customHeight="1" x14ac:dyDescent="0.25">
      <c r="A18" s="8"/>
      <c r="B18" s="9"/>
      <c r="C18" s="9"/>
      <c r="D18" s="22"/>
      <c r="E18" s="114"/>
      <c r="F18" s="233"/>
      <c r="G18" s="180"/>
      <c r="H18" s="13"/>
      <c r="I18" s="13"/>
      <c r="J18" s="41"/>
      <c r="K18" s="41">
        <f>SUM(J16:J18)</f>
        <v>18043221.949999999</v>
      </c>
      <c r="L18" s="15"/>
      <c r="M18" s="13"/>
      <c r="N18" s="15"/>
      <c r="O18" s="9"/>
      <c r="P18" s="9"/>
      <c r="Q18" s="9"/>
      <c r="R18" s="189">
        <f>K18-R16</f>
        <v>4704516.9499999993</v>
      </c>
      <c r="S18" s="187"/>
      <c r="T18" s="187"/>
      <c r="U18" s="33"/>
      <c r="V18" s="33"/>
      <c r="W18" s="33"/>
      <c r="X18" s="33"/>
      <c r="Y18" s="33"/>
      <c r="Z18" s="52"/>
      <c r="AA18" s="52"/>
      <c r="AB18" s="33"/>
      <c r="AC18" s="33"/>
      <c r="AD18" s="33"/>
      <c r="AE18" s="218"/>
      <c r="AF18" s="218"/>
      <c r="AG18" s="217"/>
      <c r="AH18" s="206"/>
      <c r="AI18" s="206"/>
      <c r="AJ18" s="8"/>
      <c r="AK18" s="230"/>
      <c r="AL18" s="184"/>
      <c r="AM18" s="184"/>
      <c r="AN18" s="33"/>
      <c r="AP18" s="183"/>
    </row>
    <row r="19" spans="1:42" s="159" customFormat="1" ht="135" x14ac:dyDescent="0.25">
      <c r="A19" s="3" t="s">
        <v>699</v>
      </c>
      <c r="B19" s="25" t="s">
        <v>700</v>
      </c>
      <c r="C19" s="3">
        <v>2721193803</v>
      </c>
      <c r="D19" s="18">
        <v>1000176908</v>
      </c>
      <c r="E19" s="252" t="s">
        <v>701</v>
      </c>
      <c r="F19" s="249">
        <v>8000752550</v>
      </c>
      <c r="G19" s="84">
        <v>45859</v>
      </c>
      <c r="H19" s="11" t="s">
        <v>702</v>
      </c>
      <c r="I19" s="11" t="s">
        <v>653</v>
      </c>
      <c r="J19" s="64">
        <v>13954790.210000001</v>
      </c>
      <c r="K19" s="64"/>
      <c r="L19" s="11" t="s">
        <v>703</v>
      </c>
      <c r="M19" s="11" t="s">
        <v>704</v>
      </c>
      <c r="N19" s="11"/>
      <c r="O19" s="25" t="s">
        <v>705</v>
      </c>
      <c r="P19" s="3" t="s">
        <v>13</v>
      </c>
      <c r="Q19" s="25" t="s">
        <v>706</v>
      </c>
      <c r="R19" s="231">
        <v>573537.6</v>
      </c>
      <c r="S19" s="231">
        <v>4186437.06</v>
      </c>
      <c r="T19" s="232">
        <v>4186437.06</v>
      </c>
      <c r="U19" s="32"/>
      <c r="V19" s="32"/>
      <c r="W19" s="32"/>
      <c r="X19" s="32"/>
      <c r="Y19" s="32"/>
      <c r="Z19" s="28"/>
      <c r="AA19" s="28" t="s">
        <v>707</v>
      </c>
      <c r="AB19" s="26"/>
      <c r="AC19" s="26"/>
      <c r="AD19" s="26"/>
      <c r="AE19" s="140" t="s">
        <v>803</v>
      </c>
      <c r="AF19" s="140" t="s">
        <v>1091</v>
      </c>
      <c r="AG19" s="205" t="s">
        <v>1090</v>
      </c>
      <c r="AH19" s="26"/>
      <c r="AI19" s="28" t="s">
        <v>1073</v>
      </c>
      <c r="AJ19" s="242" t="s">
        <v>1139</v>
      </c>
      <c r="AK19" s="236"/>
      <c r="AL19" s="26"/>
      <c r="AM19" s="26"/>
      <c r="AN19" s="26"/>
      <c r="AO19" s="26"/>
      <c r="AP19" s="183" t="s">
        <v>1165</v>
      </c>
    </row>
    <row r="20" spans="1:42" s="159" customFormat="1" x14ac:dyDescent="0.25">
      <c r="A20" s="4"/>
      <c r="B20" s="4"/>
      <c r="C20" s="4"/>
      <c r="D20" s="30"/>
      <c r="E20" s="114"/>
      <c r="F20" s="250"/>
      <c r="G20" s="4"/>
      <c r="H20" s="15"/>
      <c r="I20" s="15"/>
      <c r="J20" s="55"/>
      <c r="K20" s="55">
        <v>13954790.210000001</v>
      </c>
      <c r="L20" s="17"/>
      <c r="M20" s="15"/>
      <c r="N20" s="15"/>
      <c r="O20" s="8"/>
      <c r="P20" s="4"/>
      <c r="Q20" s="4"/>
      <c r="R20" s="189">
        <f>K20-R19</f>
        <v>13381252.610000001</v>
      </c>
      <c r="S20" s="15"/>
      <c r="T20" s="15"/>
      <c r="U20" s="33"/>
      <c r="V20" s="33"/>
      <c r="W20" s="33"/>
      <c r="X20" s="33"/>
      <c r="Y20" s="33"/>
      <c r="Z20" s="52"/>
      <c r="AA20" s="27"/>
      <c r="AB20" s="27"/>
      <c r="AC20" s="27"/>
      <c r="AD20" s="27"/>
      <c r="AE20" s="27"/>
      <c r="AF20" s="27"/>
      <c r="AG20" s="208"/>
      <c r="AH20" s="27"/>
      <c r="AI20" s="27"/>
      <c r="AJ20" s="27"/>
      <c r="AK20" s="234"/>
      <c r="AL20" s="27"/>
      <c r="AM20" s="27"/>
      <c r="AN20" s="27"/>
      <c r="AO20" s="27"/>
      <c r="AP20" s="183"/>
    </row>
    <row r="21" spans="1:42" s="159" customFormat="1" ht="105" x14ac:dyDescent="0.25">
      <c r="A21" s="3" t="s">
        <v>782</v>
      </c>
      <c r="B21" s="25" t="s">
        <v>783</v>
      </c>
      <c r="C21" s="3">
        <v>1000119019</v>
      </c>
      <c r="D21" s="18">
        <v>2725129848</v>
      </c>
      <c r="E21" s="112" t="s">
        <v>784</v>
      </c>
      <c r="F21" s="248">
        <v>8000739708</v>
      </c>
      <c r="G21" s="84">
        <v>45813</v>
      </c>
      <c r="H21" s="11" t="s">
        <v>1167</v>
      </c>
      <c r="I21" s="11"/>
      <c r="J21" s="64">
        <v>34728055.100000001</v>
      </c>
      <c r="K21" s="64"/>
      <c r="L21" s="16"/>
      <c r="M21" s="11" t="s">
        <v>786</v>
      </c>
      <c r="N21" s="11"/>
      <c r="O21" s="25" t="s">
        <v>785</v>
      </c>
      <c r="P21" s="3" t="s">
        <v>748</v>
      </c>
      <c r="Q21" s="3" t="s">
        <v>476</v>
      </c>
      <c r="R21" s="231">
        <v>15111018.289999999</v>
      </c>
      <c r="S21" s="231">
        <v>17072721.969999999</v>
      </c>
      <c r="T21" s="232" t="e">
        <f>H21*0.1</f>
        <v>#VALUE!</v>
      </c>
      <c r="U21" s="32"/>
      <c r="V21" s="32"/>
      <c r="W21" s="32"/>
      <c r="X21" s="32"/>
      <c r="Y21" s="32"/>
      <c r="Z21" s="28"/>
      <c r="AB21" s="26" t="s">
        <v>1163</v>
      </c>
      <c r="AC21" s="26"/>
      <c r="AD21" s="26"/>
      <c r="AE21" s="140" t="s">
        <v>1128</v>
      </c>
      <c r="AF21" s="140">
        <v>1</v>
      </c>
      <c r="AG21" s="205"/>
      <c r="AH21" s="219">
        <f>I22-R21</f>
        <v>19617036.810000002</v>
      </c>
      <c r="AI21" s="28" t="s">
        <v>974</v>
      </c>
      <c r="AJ21" s="242" t="s">
        <v>1163</v>
      </c>
      <c r="AK21" s="235"/>
      <c r="AL21" s="26"/>
      <c r="AM21" s="26"/>
      <c r="AN21" s="26"/>
      <c r="AO21" s="26"/>
      <c r="AP21" s="183" t="s">
        <v>1165</v>
      </c>
    </row>
    <row r="22" spans="1:42" s="192" customFormat="1" ht="15" x14ac:dyDescent="0.25">
      <c r="A22" s="4"/>
      <c r="B22" s="4"/>
      <c r="C22" s="4"/>
      <c r="D22" s="30"/>
      <c r="E22" s="253"/>
      <c r="F22" s="250"/>
      <c r="G22" s="4"/>
      <c r="H22" s="66"/>
      <c r="I22" s="193">
        <v>34728055.100000001</v>
      </c>
      <c r="J22" s="194"/>
      <c r="K22" s="83">
        <f>SUM(J21)</f>
        <v>34728055.100000001</v>
      </c>
      <c r="L22" s="194"/>
      <c r="M22" s="194"/>
      <c r="N22" s="194"/>
      <c r="O22" s="15"/>
      <c r="P22" s="6"/>
      <c r="Q22" s="6"/>
      <c r="R22" s="189">
        <f>K22-R21</f>
        <v>19617036.810000002</v>
      </c>
      <c r="S22" s="55"/>
      <c r="T22" s="55"/>
      <c r="U22" s="210"/>
      <c r="V22" s="210"/>
      <c r="W22" s="210"/>
      <c r="X22" s="213"/>
      <c r="Y22" s="210"/>
      <c r="Z22" s="210"/>
      <c r="AA22" s="210"/>
      <c r="AB22" s="210"/>
      <c r="AC22" s="210"/>
      <c r="AD22" s="210"/>
      <c r="AE22" s="210"/>
      <c r="AF22" s="210"/>
      <c r="AG22" s="210"/>
      <c r="AH22" s="210"/>
      <c r="AI22" s="210"/>
      <c r="AJ22" s="210"/>
    </row>
  </sheetData>
  <mergeCells count="26">
    <mergeCell ref="F1:F2"/>
    <mergeCell ref="A1:A2"/>
    <mergeCell ref="B1:B2"/>
    <mergeCell ref="C1:C2"/>
    <mergeCell ref="D1:D2"/>
    <mergeCell ref="E1:E2"/>
    <mergeCell ref="R1:R2"/>
    <mergeCell ref="G1:G2"/>
    <mergeCell ref="H1:H2"/>
    <mergeCell ref="I1:I2"/>
    <mergeCell ref="J1:J2"/>
    <mergeCell ref="K1:K2"/>
    <mergeCell ref="L1:L2"/>
    <mergeCell ref="M1:M2"/>
    <mergeCell ref="N1:N2"/>
    <mergeCell ref="O1:O2"/>
    <mergeCell ref="P1:P2"/>
    <mergeCell ref="Q1:Q2"/>
    <mergeCell ref="AA1:AA2"/>
    <mergeCell ref="AC1:AO1"/>
    <mergeCell ref="S1:S2"/>
    <mergeCell ref="T1:T2"/>
    <mergeCell ref="U1:W1"/>
    <mergeCell ref="X1:X2"/>
    <mergeCell ref="Y1:Y2"/>
    <mergeCell ref="Z1:Z2"/>
  </mergeCells>
  <hyperlinks>
    <hyperlink ref="E3" r:id="rId1"/>
    <hyperlink ref="E10" r:id="rId2"/>
    <hyperlink ref="AA10" r:id="rId3"/>
    <hyperlink ref="E12" r:id="rId4"/>
    <hyperlink ref="AA12" r:id="rId5"/>
    <hyperlink ref="AA6" r:id="rId6"/>
    <hyperlink ref="E6" r:id="rId7"/>
    <hyperlink ref="E21" r:id="rId8"/>
    <hyperlink ref="E14" r:id="rId9"/>
    <hyperlink ref="AA16" r:id="rId10"/>
    <hyperlink ref="E16" r:id="rId11"/>
    <hyperlink ref="E17" r:id="rId12"/>
  </hyperlinks>
  <pageMargins left="0.7" right="0.7" top="0.75" bottom="0.75" header="0.3" footer="0.3"/>
  <pageSetup paperSize="9"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Q1020"/>
  <sheetViews>
    <sheetView workbookViewId="0">
      <selection activeCell="S222" sqref="S222"/>
    </sheetView>
  </sheetViews>
  <sheetFormatPr defaultRowHeight="15" x14ac:dyDescent="0.25"/>
  <cols>
    <col min="1" max="1" width="11.7109375" customWidth="1"/>
    <col min="2" max="2" width="40.7109375" style="314" customWidth="1"/>
    <col min="3" max="3" width="27.7109375" style="362" customWidth="1"/>
    <col min="4" max="4" width="13.7109375" customWidth="1"/>
    <col min="5" max="5" width="22.7109375" customWidth="1"/>
    <col min="6" max="7" width="10.7109375" customWidth="1"/>
    <col min="8" max="10" width="15.7109375" customWidth="1"/>
    <col min="11" max="11" width="7.7109375" customWidth="1"/>
    <col min="12" max="12" width="10.7109375" customWidth="1"/>
    <col min="13" max="13" width="26.5703125" customWidth="1"/>
    <col min="14" max="14" width="10.7109375" customWidth="1"/>
    <col min="15" max="15" width="32.140625" customWidth="1"/>
    <col min="16" max="16" width="34.7109375" customWidth="1"/>
  </cols>
  <sheetData>
    <row r="1" spans="1:16" x14ac:dyDescent="0.25">
      <c r="A1" s="513" t="s">
        <v>1708</v>
      </c>
      <c r="B1" s="513"/>
      <c r="C1" s="360"/>
      <c r="D1" s="263"/>
      <c r="E1" s="264" t="s">
        <v>1709</v>
      </c>
      <c r="F1" s="262"/>
      <c r="G1" s="265"/>
      <c r="H1" s="262"/>
      <c r="I1" s="266"/>
      <c r="J1" s="266"/>
      <c r="K1" s="262"/>
      <c r="L1" s="267"/>
      <c r="M1" s="267"/>
      <c r="N1" s="267"/>
      <c r="O1" s="262"/>
    </row>
    <row r="2" spans="1:16" x14ac:dyDescent="0.25">
      <c r="A2" s="514" t="s">
        <v>1710</v>
      </c>
      <c r="B2" s="514"/>
      <c r="C2" s="515"/>
      <c r="D2" s="514"/>
      <c r="E2" s="514"/>
      <c r="F2" s="514"/>
      <c r="G2" s="268"/>
      <c r="H2" s="268"/>
      <c r="I2" s="269"/>
      <c r="J2" s="269"/>
      <c r="K2" s="262"/>
      <c r="L2" s="267"/>
      <c r="M2" s="267"/>
      <c r="N2" s="267"/>
      <c r="O2" s="262"/>
    </row>
    <row r="3" spans="1:16" x14ac:dyDescent="0.25">
      <c r="A3" s="514" t="s">
        <v>1711</v>
      </c>
      <c r="B3" s="514"/>
      <c r="C3" s="515"/>
      <c r="D3" s="514"/>
      <c r="E3" s="514"/>
      <c r="F3" s="514"/>
      <c r="G3" s="268"/>
      <c r="H3" s="268"/>
      <c r="I3" s="269"/>
      <c r="J3" s="269"/>
      <c r="K3" s="262"/>
      <c r="L3" s="267"/>
      <c r="M3" s="267"/>
      <c r="N3" s="267"/>
      <c r="O3" s="262"/>
    </row>
    <row r="4" spans="1:16" x14ac:dyDescent="0.25">
      <c r="A4" s="270"/>
      <c r="B4" s="309"/>
      <c r="C4" s="360"/>
      <c r="D4" s="271"/>
      <c r="E4" s="270"/>
      <c r="F4" s="262"/>
      <c r="G4" s="272"/>
      <c r="H4" s="273" t="s">
        <v>1712</v>
      </c>
      <c r="I4" s="269"/>
      <c r="J4" s="269"/>
      <c r="K4" s="262"/>
      <c r="L4" s="267"/>
      <c r="M4" s="267"/>
      <c r="N4" s="267"/>
      <c r="O4" s="262"/>
    </row>
    <row r="5" spans="1:16" x14ac:dyDescent="0.25">
      <c r="A5" s="267"/>
      <c r="B5" s="310"/>
      <c r="C5" s="360"/>
      <c r="D5" s="274"/>
      <c r="E5" s="267"/>
      <c r="F5" s="262"/>
      <c r="G5" s="275"/>
      <c r="H5" s="276"/>
      <c r="I5" s="269"/>
      <c r="J5" s="269"/>
      <c r="K5" s="262"/>
      <c r="L5" s="267"/>
      <c r="M5" s="267"/>
      <c r="N5" s="267"/>
      <c r="O5" s="262"/>
    </row>
    <row r="6" spans="1:16" ht="15.75" thickBot="1" x14ac:dyDescent="0.3">
      <c r="A6" s="267"/>
      <c r="B6" s="277" t="s">
        <v>1713</v>
      </c>
      <c r="C6" s="360"/>
      <c r="D6" s="277"/>
      <c r="E6" s="278"/>
      <c r="F6" s="262"/>
      <c r="G6" s="277"/>
      <c r="H6" s="277"/>
      <c r="I6" s="277"/>
      <c r="J6" s="279"/>
      <c r="K6" s="262"/>
      <c r="L6" s="267"/>
      <c r="M6" s="267"/>
      <c r="N6" s="267"/>
      <c r="O6" s="262"/>
    </row>
    <row r="7" spans="1:16" ht="60.75" thickBot="1" x14ac:dyDescent="0.3">
      <c r="A7" s="280" t="s">
        <v>1714</v>
      </c>
      <c r="B7" s="281" t="s">
        <v>1715</v>
      </c>
      <c r="C7" s="361" t="s">
        <v>4448</v>
      </c>
      <c r="D7" s="281" t="s">
        <v>8</v>
      </c>
      <c r="E7" s="281" t="s">
        <v>1716</v>
      </c>
      <c r="F7" s="282" t="s">
        <v>1717</v>
      </c>
      <c r="G7" s="283" t="s">
        <v>1718</v>
      </c>
      <c r="H7" s="282" t="s">
        <v>1719</v>
      </c>
      <c r="I7" s="282" t="s">
        <v>1720</v>
      </c>
      <c r="J7" s="282" t="s">
        <v>1721</v>
      </c>
      <c r="K7" s="282" t="s">
        <v>1722</v>
      </c>
      <c r="L7" s="281" t="s">
        <v>1723</v>
      </c>
      <c r="M7" s="281" t="s">
        <v>1724</v>
      </c>
      <c r="N7" s="284" t="s">
        <v>1725</v>
      </c>
      <c r="O7" s="285" t="s">
        <v>1726</v>
      </c>
      <c r="P7" s="286" t="s">
        <v>1727</v>
      </c>
    </row>
    <row r="8" spans="1:16" hidden="1" x14ac:dyDescent="0.25">
      <c r="A8" s="287" t="s">
        <v>1728</v>
      </c>
      <c r="B8" s="311" t="s">
        <v>1729</v>
      </c>
      <c r="C8" s="305"/>
      <c r="D8" s="288" t="s">
        <v>1730</v>
      </c>
      <c r="E8" s="288"/>
      <c r="F8" s="289">
        <v>8701678317</v>
      </c>
      <c r="G8" s="290">
        <v>45981</v>
      </c>
      <c r="H8" s="291">
        <v>63135</v>
      </c>
      <c r="I8" s="291">
        <v>63135</v>
      </c>
      <c r="J8" s="291">
        <v>0</v>
      </c>
      <c r="K8" s="289" t="s">
        <v>1731</v>
      </c>
      <c r="L8" s="288" t="s">
        <v>1732</v>
      </c>
      <c r="M8" s="288" t="s">
        <v>1733</v>
      </c>
      <c r="N8" s="288" t="s">
        <v>1734</v>
      </c>
      <c r="O8" s="289" t="s">
        <v>1735</v>
      </c>
      <c r="P8" s="292"/>
    </row>
    <row r="9" spans="1:16" hidden="1" x14ac:dyDescent="0.25">
      <c r="A9" s="287" t="s">
        <v>1728</v>
      </c>
      <c r="B9" s="311" t="s">
        <v>1729</v>
      </c>
      <c r="C9" s="305"/>
      <c r="D9" s="288" t="s">
        <v>1730</v>
      </c>
      <c r="E9" s="288" t="s">
        <v>1736</v>
      </c>
      <c r="F9" s="289">
        <v>8000725653</v>
      </c>
      <c r="G9" s="290">
        <v>45511</v>
      </c>
      <c r="H9" s="291">
        <v>258605.14</v>
      </c>
      <c r="I9" s="291">
        <v>258605.14</v>
      </c>
      <c r="J9" s="291">
        <v>0</v>
      </c>
      <c r="K9" s="289" t="s">
        <v>1731</v>
      </c>
      <c r="L9" s="288" t="s">
        <v>1732</v>
      </c>
      <c r="M9" s="288" t="s">
        <v>1733</v>
      </c>
      <c r="N9" s="288" t="s">
        <v>1734</v>
      </c>
      <c r="O9" s="289" t="s">
        <v>1737</v>
      </c>
      <c r="P9" s="292"/>
    </row>
    <row r="10" spans="1:16" hidden="1" x14ac:dyDescent="0.25">
      <c r="A10" s="287" t="s">
        <v>1738</v>
      </c>
      <c r="B10" s="311" t="s">
        <v>1739</v>
      </c>
      <c r="C10" s="305"/>
      <c r="D10" s="288" t="s">
        <v>1740</v>
      </c>
      <c r="E10" s="288" t="s">
        <v>1741</v>
      </c>
      <c r="F10" s="289">
        <v>8701744899</v>
      </c>
      <c r="G10" s="290">
        <v>46043</v>
      </c>
      <c r="H10" s="291">
        <v>3300</v>
      </c>
      <c r="I10" s="291">
        <v>3300</v>
      </c>
      <c r="J10" s="291">
        <v>0</v>
      </c>
      <c r="K10" s="289" t="s">
        <v>1731</v>
      </c>
      <c r="L10" s="288" t="s">
        <v>1742</v>
      </c>
      <c r="M10" s="288" t="s">
        <v>1743</v>
      </c>
      <c r="N10" s="288" t="s">
        <v>1734</v>
      </c>
      <c r="O10" s="289" t="s">
        <v>1744</v>
      </c>
      <c r="P10" s="292"/>
    </row>
    <row r="11" spans="1:16" hidden="1" x14ac:dyDescent="0.25">
      <c r="A11" s="287" t="s">
        <v>1745</v>
      </c>
      <c r="B11" s="311" t="s">
        <v>1746</v>
      </c>
      <c r="C11" s="305"/>
      <c r="D11" s="288" t="s">
        <v>1747</v>
      </c>
      <c r="E11" s="288" t="s">
        <v>1748</v>
      </c>
      <c r="F11" s="289">
        <v>4000236368</v>
      </c>
      <c r="G11" s="290">
        <v>45944</v>
      </c>
      <c r="H11" s="291">
        <v>16868.11</v>
      </c>
      <c r="I11" s="291">
        <v>16868.11</v>
      </c>
      <c r="J11" s="291">
        <v>0</v>
      </c>
      <c r="K11" s="289" t="s">
        <v>1731</v>
      </c>
      <c r="L11" s="288" t="s">
        <v>1749</v>
      </c>
      <c r="M11" s="288" t="s">
        <v>1750</v>
      </c>
      <c r="N11" s="288" t="s">
        <v>1751</v>
      </c>
      <c r="O11" s="289" t="s">
        <v>1752</v>
      </c>
      <c r="P11" s="292"/>
    </row>
    <row r="12" spans="1:16" hidden="1" x14ac:dyDescent="0.25">
      <c r="A12" s="287" t="s">
        <v>1745</v>
      </c>
      <c r="B12" s="311" t="s">
        <v>1746</v>
      </c>
      <c r="C12" s="305"/>
      <c r="D12" s="288" t="s">
        <v>1747</v>
      </c>
      <c r="E12" s="288" t="s">
        <v>1753</v>
      </c>
      <c r="F12" s="289">
        <v>4000200600</v>
      </c>
      <c r="G12" s="290">
        <v>46081</v>
      </c>
      <c r="H12" s="291">
        <v>122472915.44</v>
      </c>
      <c r="I12" s="291">
        <v>0</v>
      </c>
      <c r="J12" s="291">
        <v>0</v>
      </c>
      <c r="K12" s="289" t="s">
        <v>1731</v>
      </c>
      <c r="L12" s="288" t="s">
        <v>1754</v>
      </c>
      <c r="M12" s="288" t="s">
        <v>1755</v>
      </c>
      <c r="N12" s="288" t="s">
        <v>1751</v>
      </c>
      <c r="O12" s="289" t="s">
        <v>1756</v>
      </c>
      <c r="P12" s="292"/>
    </row>
    <row r="13" spans="1:16" hidden="1" x14ac:dyDescent="0.25">
      <c r="A13" s="287" t="s">
        <v>1745</v>
      </c>
      <c r="B13" s="311" t="s">
        <v>1746</v>
      </c>
      <c r="C13" s="305"/>
      <c r="D13" s="288" t="s">
        <v>1747</v>
      </c>
      <c r="E13" s="288" t="s">
        <v>1757</v>
      </c>
      <c r="F13" s="289">
        <v>4000215642</v>
      </c>
      <c r="G13" s="290">
        <v>45992</v>
      </c>
      <c r="H13" s="291">
        <v>45509.29</v>
      </c>
      <c r="I13" s="291">
        <v>45509.29</v>
      </c>
      <c r="J13" s="291">
        <v>0</v>
      </c>
      <c r="K13" s="289" t="s">
        <v>1731</v>
      </c>
      <c r="L13" s="288" t="s">
        <v>1749</v>
      </c>
      <c r="M13" s="288" t="s">
        <v>1750</v>
      </c>
      <c r="N13" s="288" t="s">
        <v>1751</v>
      </c>
      <c r="O13" s="289" t="s">
        <v>1752</v>
      </c>
      <c r="P13" s="292"/>
    </row>
    <row r="14" spans="1:16" ht="26.25" hidden="1" x14ac:dyDescent="0.25">
      <c r="A14" s="287" t="s">
        <v>1758</v>
      </c>
      <c r="B14" s="311" t="s">
        <v>1759</v>
      </c>
      <c r="C14" s="305"/>
      <c r="D14" s="288" t="s">
        <v>1747</v>
      </c>
      <c r="E14" s="288" t="s">
        <v>1757</v>
      </c>
      <c r="F14" s="289">
        <v>4000215642</v>
      </c>
      <c r="G14" s="290">
        <v>46063</v>
      </c>
      <c r="H14" s="291">
        <v>666516.86</v>
      </c>
      <c r="I14" s="291">
        <v>666516.86</v>
      </c>
      <c r="J14" s="291">
        <v>0</v>
      </c>
      <c r="K14" s="289" t="s">
        <v>1731</v>
      </c>
      <c r="L14" s="288" t="s">
        <v>1749</v>
      </c>
      <c r="M14" s="288" t="s">
        <v>1750</v>
      </c>
      <c r="N14" s="288" t="s">
        <v>1751</v>
      </c>
      <c r="O14" s="289" t="s">
        <v>1752</v>
      </c>
      <c r="P14" s="292"/>
    </row>
    <row r="15" spans="1:16" hidden="1" x14ac:dyDescent="0.25">
      <c r="A15" s="287" t="s">
        <v>1760</v>
      </c>
      <c r="B15" s="311" t="s">
        <v>1761</v>
      </c>
      <c r="C15" s="305"/>
      <c r="D15" s="288" t="s">
        <v>1762</v>
      </c>
      <c r="E15" s="288" t="s">
        <v>1763</v>
      </c>
      <c r="F15" s="289">
        <v>4000217105</v>
      </c>
      <c r="G15" s="290">
        <v>46073</v>
      </c>
      <c r="H15" s="291">
        <v>10768132.710000001</v>
      </c>
      <c r="I15" s="291">
        <v>10768132.710000001</v>
      </c>
      <c r="J15" s="291">
        <v>0</v>
      </c>
      <c r="K15" s="289" t="s">
        <v>1731</v>
      </c>
      <c r="L15" s="288" t="s">
        <v>1754</v>
      </c>
      <c r="M15" s="288" t="s">
        <v>1755</v>
      </c>
      <c r="N15" s="288" t="s">
        <v>1751</v>
      </c>
      <c r="O15" s="289" t="s">
        <v>1764</v>
      </c>
      <c r="P15" s="292"/>
    </row>
    <row r="16" spans="1:16" hidden="1" x14ac:dyDescent="0.25">
      <c r="A16" s="287" t="s">
        <v>1760</v>
      </c>
      <c r="B16" s="311" t="s">
        <v>1761</v>
      </c>
      <c r="C16" s="305"/>
      <c r="D16" s="288" t="s">
        <v>1762</v>
      </c>
      <c r="E16" s="288" t="s">
        <v>1765</v>
      </c>
      <c r="F16" s="289">
        <v>4000190529</v>
      </c>
      <c r="G16" s="290">
        <v>46081</v>
      </c>
      <c r="H16" s="291">
        <v>21194434.66</v>
      </c>
      <c r="I16" s="291">
        <v>1876816.4</v>
      </c>
      <c r="J16" s="291">
        <v>0</v>
      </c>
      <c r="K16" s="289" t="s">
        <v>1731</v>
      </c>
      <c r="L16" s="288" t="s">
        <v>1754</v>
      </c>
      <c r="M16" s="288" t="s">
        <v>1755</v>
      </c>
      <c r="N16" s="288" t="s">
        <v>1751</v>
      </c>
      <c r="O16" s="289" t="s">
        <v>1766</v>
      </c>
      <c r="P16" s="292"/>
    </row>
    <row r="17" spans="1:16" hidden="1" x14ac:dyDescent="0.25">
      <c r="A17" s="287" t="s">
        <v>1760</v>
      </c>
      <c r="B17" s="311" t="s">
        <v>1761</v>
      </c>
      <c r="C17" s="305"/>
      <c r="D17" s="288" t="s">
        <v>1762</v>
      </c>
      <c r="E17" s="288" t="s">
        <v>1767</v>
      </c>
      <c r="F17" s="289">
        <v>4000103936</v>
      </c>
      <c r="G17" s="290">
        <v>45657</v>
      </c>
      <c r="H17" s="291">
        <v>41084352.640000001</v>
      </c>
      <c r="I17" s="291">
        <v>41084352.640000001</v>
      </c>
      <c r="J17" s="291">
        <v>0</v>
      </c>
      <c r="K17" s="289" t="s">
        <v>1731</v>
      </c>
      <c r="L17" s="288" t="s">
        <v>1754</v>
      </c>
      <c r="M17" s="288" t="s">
        <v>1755</v>
      </c>
      <c r="N17" s="288" t="s">
        <v>1751</v>
      </c>
      <c r="O17" s="289" t="s">
        <v>1768</v>
      </c>
      <c r="P17" s="292"/>
    </row>
    <row r="18" spans="1:16" hidden="1" x14ac:dyDescent="0.25">
      <c r="A18" s="287" t="s">
        <v>1769</v>
      </c>
      <c r="B18" s="311" t="s">
        <v>1770</v>
      </c>
      <c r="C18" s="305"/>
      <c r="D18" s="288" t="s">
        <v>1771</v>
      </c>
      <c r="E18" s="288" t="s">
        <v>1772</v>
      </c>
      <c r="F18" s="289">
        <v>8000791931</v>
      </c>
      <c r="G18" s="290">
        <v>46072</v>
      </c>
      <c r="H18" s="291">
        <v>141977.5</v>
      </c>
      <c r="I18" s="291">
        <v>141977.5</v>
      </c>
      <c r="J18" s="291">
        <v>0</v>
      </c>
      <c r="K18" s="289" t="s">
        <v>1731</v>
      </c>
      <c r="L18" s="288" t="s">
        <v>1773</v>
      </c>
      <c r="M18" s="288" t="s">
        <v>1774</v>
      </c>
      <c r="N18" s="288" t="s">
        <v>1734</v>
      </c>
      <c r="O18" s="289" t="s">
        <v>1775</v>
      </c>
      <c r="P18" s="292"/>
    </row>
    <row r="19" spans="1:16" hidden="1" x14ac:dyDescent="0.25">
      <c r="A19" s="287" t="s">
        <v>1776</v>
      </c>
      <c r="B19" s="311" t="s">
        <v>1777</v>
      </c>
      <c r="C19" s="305"/>
      <c r="D19" s="288" t="s">
        <v>1778</v>
      </c>
      <c r="E19" s="288" t="s">
        <v>1779</v>
      </c>
      <c r="F19" s="289">
        <v>4000103883</v>
      </c>
      <c r="G19" s="290">
        <v>46081</v>
      </c>
      <c r="H19" s="291">
        <v>7902.71</v>
      </c>
      <c r="I19" s="291">
        <v>0</v>
      </c>
      <c r="J19" s="291">
        <v>0</v>
      </c>
      <c r="K19" s="289" t="s">
        <v>1731</v>
      </c>
      <c r="L19" s="288" t="s">
        <v>1780</v>
      </c>
      <c r="M19" s="288" t="s">
        <v>1781</v>
      </c>
      <c r="N19" s="288" t="s">
        <v>1751</v>
      </c>
      <c r="O19" s="289" t="s">
        <v>1782</v>
      </c>
      <c r="P19" s="292"/>
    </row>
    <row r="20" spans="1:16" hidden="1" x14ac:dyDescent="0.25">
      <c r="A20" s="287" t="s">
        <v>1783</v>
      </c>
      <c r="B20" s="311" t="s">
        <v>1784</v>
      </c>
      <c r="C20" s="305"/>
      <c r="D20" s="288" t="s">
        <v>1785</v>
      </c>
      <c r="E20" s="288" t="s">
        <v>1786</v>
      </c>
      <c r="F20" s="289">
        <v>4000232799</v>
      </c>
      <c r="G20" s="290">
        <v>45839</v>
      </c>
      <c r="H20" s="291">
        <v>300.56</v>
      </c>
      <c r="I20" s="291">
        <v>300.56</v>
      </c>
      <c r="J20" s="291">
        <v>0</v>
      </c>
      <c r="K20" s="289" t="s">
        <v>1731</v>
      </c>
      <c r="L20" s="288" t="s">
        <v>1754</v>
      </c>
      <c r="M20" s="288" t="s">
        <v>1755</v>
      </c>
      <c r="N20" s="288" t="s">
        <v>1751</v>
      </c>
      <c r="O20" s="289" t="s">
        <v>1787</v>
      </c>
      <c r="P20" s="292"/>
    </row>
    <row r="21" spans="1:16" hidden="1" x14ac:dyDescent="0.25">
      <c r="A21" s="287" t="s">
        <v>1788</v>
      </c>
      <c r="B21" s="311" t="s">
        <v>1789</v>
      </c>
      <c r="C21" s="305"/>
      <c r="D21" s="288" t="s">
        <v>1790</v>
      </c>
      <c r="E21" s="288"/>
      <c r="F21" s="289"/>
      <c r="G21" s="290">
        <v>45671</v>
      </c>
      <c r="H21" s="291">
        <v>15400</v>
      </c>
      <c r="I21" s="291">
        <v>15400</v>
      </c>
      <c r="J21" s="291">
        <v>-15400</v>
      </c>
      <c r="K21" s="289" t="s">
        <v>1731</v>
      </c>
      <c r="L21" s="288" t="s">
        <v>1773</v>
      </c>
      <c r="M21" s="288" t="s">
        <v>1774</v>
      </c>
      <c r="N21" s="288" t="s">
        <v>1734</v>
      </c>
      <c r="O21" s="289" t="s">
        <v>1791</v>
      </c>
      <c r="P21" s="292"/>
    </row>
    <row r="22" spans="1:16" hidden="1" x14ac:dyDescent="0.25">
      <c r="A22" s="287" t="s">
        <v>1788</v>
      </c>
      <c r="B22" s="311" t="s">
        <v>1789</v>
      </c>
      <c r="C22" s="305"/>
      <c r="D22" s="288" t="s">
        <v>1790</v>
      </c>
      <c r="E22" s="288" t="s">
        <v>1741</v>
      </c>
      <c r="F22" s="289"/>
      <c r="G22" s="290">
        <v>45560</v>
      </c>
      <c r="H22" s="291">
        <v>382267</v>
      </c>
      <c r="I22" s="291">
        <v>382267</v>
      </c>
      <c r="J22" s="291">
        <v>-382267</v>
      </c>
      <c r="K22" s="289" t="s">
        <v>1731</v>
      </c>
      <c r="L22" s="288" t="s">
        <v>1773</v>
      </c>
      <c r="M22" s="288" t="s">
        <v>1774</v>
      </c>
      <c r="N22" s="288" t="s">
        <v>1734</v>
      </c>
      <c r="O22" s="289" t="s">
        <v>1791</v>
      </c>
      <c r="P22" s="292"/>
    </row>
    <row r="23" spans="1:16" hidden="1" x14ac:dyDescent="0.25">
      <c r="A23" s="287" t="s">
        <v>1792</v>
      </c>
      <c r="B23" s="311" t="s">
        <v>1793</v>
      </c>
      <c r="C23" s="305"/>
      <c r="D23" s="288" t="s">
        <v>1794</v>
      </c>
      <c r="E23" s="288"/>
      <c r="F23" s="289">
        <v>8701549467</v>
      </c>
      <c r="G23" s="290">
        <v>45807</v>
      </c>
      <c r="H23" s="291">
        <v>3389</v>
      </c>
      <c r="I23" s="291">
        <v>3389</v>
      </c>
      <c r="J23" s="291">
        <v>-3389</v>
      </c>
      <c r="K23" s="289" t="s">
        <v>1731</v>
      </c>
      <c r="L23" s="288" t="s">
        <v>1773</v>
      </c>
      <c r="M23" s="288" t="s">
        <v>1774</v>
      </c>
      <c r="N23" s="288" t="s">
        <v>1734</v>
      </c>
      <c r="O23" s="289" t="s">
        <v>1795</v>
      </c>
      <c r="P23" s="292"/>
    </row>
    <row r="24" spans="1:16" hidden="1" x14ac:dyDescent="0.25">
      <c r="A24" s="287" t="s">
        <v>1792</v>
      </c>
      <c r="B24" s="311" t="s">
        <v>1793</v>
      </c>
      <c r="C24" s="305"/>
      <c r="D24" s="288" t="s">
        <v>1794</v>
      </c>
      <c r="E24" s="288"/>
      <c r="F24" s="289">
        <v>8701683031</v>
      </c>
      <c r="G24" s="290">
        <v>45974</v>
      </c>
      <c r="H24" s="291">
        <v>9501</v>
      </c>
      <c r="I24" s="291">
        <v>9501</v>
      </c>
      <c r="J24" s="291">
        <v>0</v>
      </c>
      <c r="K24" s="289" t="s">
        <v>1731</v>
      </c>
      <c r="L24" s="288" t="s">
        <v>1773</v>
      </c>
      <c r="M24" s="288" t="s">
        <v>1774</v>
      </c>
      <c r="N24" s="288" t="s">
        <v>1734</v>
      </c>
      <c r="O24" s="289" t="s">
        <v>1796</v>
      </c>
      <c r="P24" s="292"/>
    </row>
    <row r="25" spans="1:16" hidden="1" x14ac:dyDescent="0.25">
      <c r="A25" s="287" t="s">
        <v>1792</v>
      </c>
      <c r="B25" s="311" t="s">
        <v>1793</v>
      </c>
      <c r="C25" s="305"/>
      <c r="D25" s="288" t="s">
        <v>1794</v>
      </c>
      <c r="E25" s="288"/>
      <c r="F25" s="289"/>
      <c r="G25" s="290">
        <v>45651</v>
      </c>
      <c r="H25" s="291">
        <v>8298</v>
      </c>
      <c r="I25" s="291">
        <v>8298</v>
      </c>
      <c r="J25" s="291">
        <v>-8298</v>
      </c>
      <c r="K25" s="289" t="s">
        <v>1731</v>
      </c>
      <c r="L25" s="288" t="s">
        <v>1773</v>
      </c>
      <c r="M25" s="288" t="s">
        <v>1774</v>
      </c>
      <c r="N25" s="288" t="s">
        <v>1734</v>
      </c>
      <c r="O25" s="289" t="s">
        <v>1791</v>
      </c>
      <c r="P25" s="292"/>
    </row>
    <row r="26" spans="1:16" hidden="1" x14ac:dyDescent="0.25">
      <c r="A26" s="287" t="s">
        <v>1792</v>
      </c>
      <c r="B26" s="311" t="s">
        <v>1793</v>
      </c>
      <c r="C26" s="305"/>
      <c r="D26" s="288" t="s">
        <v>1794</v>
      </c>
      <c r="E26" s="288" t="s">
        <v>1741</v>
      </c>
      <c r="F26" s="289">
        <v>8701455737</v>
      </c>
      <c r="G26" s="290">
        <v>45729</v>
      </c>
      <c r="H26" s="291">
        <v>670</v>
      </c>
      <c r="I26" s="291">
        <v>670</v>
      </c>
      <c r="J26" s="291">
        <v>-670</v>
      </c>
      <c r="K26" s="289" t="s">
        <v>1731</v>
      </c>
      <c r="L26" s="288" t="s">
        <v>1773</v>
      </c>
      <c r="M26" s="288" t="s">
        <v>1774</v>
      </c>
      <c r="N26" s="288" t="s">
        <v>1734</v>
      </c>
      <c r="O26" s="289" t="s">
        <v>1797</v>
      </c>
      <c r="P26" s="292"/>
    </row>
    <row r="27" spans="1:16" hidden="1" x14ac:dyDescent="0.25">
      <c r="A27" s="287" t="s">
        <v>1792</v>
      </c>
      <c r="B27" s="311" t="s">
        <v>1793</v>
      </c>
      <c r="C27" s="305"/>
      <c r="D27" s="288" t="s">
        <v>1794</v>
      </c>
      <c r="E27" s="288" t="s">
        <v>1741</v>
      </c>
      <c r="F27" s="289">
        <v>8701519700</v>
      </c>
      <c r="G27" s="290">
        <v>45784</v>
      </c>
      <c r="H27" s="291">
        <v>1120</v>
      </c>
      <c r="I27" s="291">
        <v>1120</v>
      </c>
      <c r="J27" s="291">
        <v>-1120</v>
      </c>
      <c r="K27" s="289" t="s">
        <v>1731</v>
      </c>
      <c r="L27" s="288" t="s">
        <v>1773</v>
      </c>
      <c r="M27" s="288" t="s">
        <v>1774</v>
      </c>
      <c r="N27" s="288" t="s">
        <v>1734</v>
      </c>
      <c r="O27" s="289" t="s">
        <v>1798</v>
      </c>
      <c r="P27" s="292"/>
    </row>
    <row r="28" spans="1:16" hidden="1" x14ac:dyDescent="0.25">
      <c r="A28" s="287" t="s">
        <v>1792</v>
      </c>
      <c r="B28" s="311" t="s">
        <v>1793</v>
      </c>
      <c r="C28" s="305"/>
      <c r="D28" s="288" t="s">
        <v>1794</v>
      </c>
      <c r="E28" s="288" t="s">
        <v>1741</v>
      </c>
      <c r="F28" s="289">
        <v>8701519677</v>
      </c>
      <c r="G28" s="290">
        <v>45784</v>
      </c>
      <c r="H28" s="291">
        <v>1148</v>
      </c>
      <c r="I28" s="291">
        <v>1148</v>
      </c>
      <c r="J28" s="291">
        <v>-1148</v>
      </c>
      <c r="K28" s="289" t="s">
        <v>1731</v>
      </c>
      <c r="L28" s="288" t="s">
        <v>1773</v>
      </c>
      <c r="M28" s="288" t="s">
        <v>1774</v>
      </c>
      <c r="N28" s="288" t="s">
        <v>1734</v>
      </c>
      <c r="O28" s="289" t="s">
        <v>1798</v>
      </c>
      <c r="P28" s="292"/>
    </row>
    <row r="29" spans="1:16" hidden="1" x14ac:dyDescent="0.25">
      <c r="A29" s="287" t="s">
        <v>1792</v>
      </c>
      <c r="B29" s="311" t="s">
        <v>1793</v>
      </c>
      <c r="C29" s="305"/>
      <c r="D29" s="288" t="s">
        <v>1794</v>
      </c>
      <c r="E29" s="288" t="s">
        <v>1741</v>
      </c>
      <c r="F29" s="289">
        <v>8701552309</v>
      </c>
      <c r="G29" s="290">
        <v>45819</v>
      </c>
      <c r="H29" s="291">
        <v>3292</v>
      </c>
      <c r="I29" s="291">
        <v>3292</v>
      </c>
      <c r="J29" s="291">
        <v>-3292</v>
      </c>
      <c r="K29" s="289" t="s">
        <v>1731</v>
      </c>
      <c r="L29" s="288" t="s">
        <v>1773</v>
      </c>
      <c r="M29" s="288" t="s">
        <v>1774</v>
      </c>
      <c r="N29" s="288" t="s">
        <v>1734</v>
      </c>
      <c r="O29" s="289" t="s">
        <v>1795</v>
      </c>
      <c r="P29" s="292"/>
    </row>
    <row r="30" spans="1:16" hidden="1" x14ac:dyDescent="0.25">
      <c r="A30" s="287" t="s">
        <v>1792</v>
      </c>
      <c r="B30" s="311" t="s">
        <v>1793</v>
      </c>
      <c r="C30" s="305"/>
      <c r="D30" s="288" t="s">
        <v>1794</v>
      </c>
      <c r="E30" s="288" t="s">
        <v>1741</v>
      </c>
      <c r="F30" s="289">
        <v>8700494060</v>
      </c>
      <c r="G30" s="290">
        <v>44530</v>
      </c>
      <c r="H30" s="291">
        <v>-180</v>
      </c>
      <c r="I30" s="291">
        <v>-180</v>
      </c>
      <c r="J30" s="291">
        <v>0</v>
      </c>
      <c r="K30" s="289" t="s">
        <v>1731</v>
      </c>
      <c r="L30" s="288" t="s">
        <v>1773</v>
      </c>
      <c r="M30" s="288" t="s">
        <v>1774</v>
      </c>
      <c r="N30" s="288" t="s">
        <v>1734</v>
      </c>
      <c r="O30" s="289" t="s">
        <v>1799</v>
      </c>
      <c r="P30" s="292"/>
    </row>
    <row r="31" spans="1:16" hidden="1" x14ac:dyDescent="0.25">
      <c r="A31" s="287" t="s">
        <v>1792</v>
      </c>
      <c r="B31" s="311" t="s">
        <v>1793</v>
      </c>
      <c r="C31" s="305"/>
      <c r="D31" s="288" t="s">
        <v>1794</v>
      </c>
      <c r="E31" s="288" t="s">
        <v>1741</v>
      </c>
      <c r="F31" s="289">
        <v>8701576379</v>
      </c>
      <c r="G31" s="290">
        <v>45842</v>
      </c>
      <c r="H31" s="291">
        <v>50000</v>
      </c>
      <c r="I31" s="291">
        <v>50000</v>
      </c>
      <c r="J31" s="291">
        <v>-50000</v>
      </c>
      <c r="K31" s="289" t="s">
        <v>1731</v>
      </c>
      <c r="L31" s="288" t="s">
        <v>1773</v>
      </c>
      <c r="M31" s="288" t="s">
        <v>1774</v>
      </c>
      <c r="N31" s="288" t="s">
        <v>1734</v>
      </c>
      <c r="O31" s="289" t="s">
        <v>1795</v>
      </c>
      <c r="P31" s="292"/>
    </row>
    <row r="32" spans="1:16" hidden="1" x14ac:dyDescent="0.25">
      <c r="A32" s="287" t="s">
        <v>1792</v>
      </c>
      <c r="B32" s="311" t="s">
        <v>1793</v>
      </c>
      <c r="C32" s="305"/>
      <c r="D32" s="288" t="s">
        <v>1794</v>
      </c>
      <c r="E32" s="288" t="s">
        <v>1741</v>
      </c>
      <c r="F32" s="289">
        <v>8701584445</v>
      </c>
      <c r="G32" s="290">
        <v>45854</v>
      </c>
      <c r="H32" s="291">
        <v>54456</v>
      </c>
      <c r="I32" s="291">
        <v>54456</v>
      </c>
      <c r="J32" s="291">
        <v>-54456</v>
      </c>
      <c r="K32" s="289" t="s">
        <v>1731</v>
      </c>
      <c r="L32" s="288" t="s">
        <v>1773</v>
      </c>
      <c r="M32" s="288" t="s">
        <v>1774</v>
      </c>
      <c r="N32" s="288" t="s">
        <v>1734</v>
      </c>
      <c r="O32" s="289" t="s">
        <v>1795</v>
      </c>
      <c r="P32" s="292"/>
    </row>
    <row r="33" spans="1:16" hidden="1" x14ac:dyDescent="0.25">
      <c r="A33" s="287" t="s">
        <v>1792</v>
      </c>
      <c r="B33" s="311" t="s">
        <v>1793</v>
      </c>
      <c r="C33" s="305"/>
      <c r="D33" s="288" t="s">
        <v>1794</v>
      </c>
      <c r="E33" s="288" t="s">
        <v>1741</v>
      </c>
      <c r="F33" s="289">
        <v>8701600324</v>
      </c>
      <c r="G33" s="290">
        <v>45873</v>
      </c>
      <c r="H33" s="291">
        <v>510</v>
      </c>
      <c r="I33" s="291">
        <v>510</v>
      </c>
      <c r="J33" s="291">
        <v>0</v>
      </c>
      <c r="K33" s="289" t="s">
        <v>1731</v>
      </c>
      <c r="L33" s="288" t="s">
        <v>1773</v>
      </c>
      <c r="M33" s="288" t="s">
        <v>1774</v>
      </c>
      <c r="N33" s="288" t="s">
        <v>1734</v>
      </c>
      <c r="O33" s="289" t="s">
        <v>1795</v>
      </c>
      <c r="P33" s="292"/>
    </row>
    <row r="34" spans="1:16" hidden="1" x14ac:dyDescent="0.25">
      <c r="A34" s="287" t="s">
        <v>1792</v>
      </c>
      <c r="B34" s="311" t="s">
        <v>1793</v>
      </c>
      <c r="C34" s="305"/>
      <c r="D34" s="288" t="s">
        <v>1794</v>
      </c>
      <c r="E34" s="288" t="s">
        <v>1741</v>
      </c>
      <c r="F34" s="289">
        <v>8701601097</v>
      </c>
      <c r="G34" s="290">
        <v>45874</v>
      </c>
      <c r="H34" s="291">
        <v>560</v>
      </c>
      <c r="I34" s="291">
        <v>560</v>
      </c>
      <c r="J34" s="291">
        <v>0</v>
      </c>
      <c r="K34" s="289" t="s">
        <v>1731</v>
      </c>
      <c r="L34" s="288" t="s">
        <v>1773</v>
      </c>
      <c r="M34" s="288" t="s">
        <v>1774</v>
      </c>
      <c r="N34" s="288" t="s">
        <v>1734</v>
      </c>
      <c r="O34" s="289" t="s">
        <v>1795</v>
      </c>
      <c r="P34" s="292"/>
    </row>
    <row r="35" spans="1:16" hidden="1" x14ac:dyDescent="0.25">
      <c r="A35" s="287" t="s">
        <v>1792</v>
      </c>
      <c r="B35" s="311" t="s">
        <v>1793</v>
      </c>
      <c r="C35" s="305"/>
      <c r="D35" s="288" t="s">
        <v>1794</v>
      </c>
      <c r="E35" s="288" t="s">
        <v>1741</v>
      </c>
      <c r="F35" s="289">
        <v>8701608075</v>
      </c>
      <c r="G35" s="290">
        <v>45883</v>
      </c>
      <c r="H35" s="291">
        <v>55</v>
      </c>
      <c r="I35" s="291">
        <v>55</v>
      </c>
      <c r="J35" s="291">
        <v>0</v>
      </c>
      <c r="K35" s="289" t="s">
        <v>1731</v>
      </c>
      <c r="L35" s="288" t="s">
        <v>1773</v>
      </c>
      <c r="M35" s="288" t="s">
        <v>1774</v>
      </c>
      <c r="N35" s="288" t="s">
        <v>1734</v>
      </c>
      <c r="O35" s="289" t="s">
        <v>1795</v>
      </c>
      <c r="P35" s="292"/>
    </row>
    <row r="36" spans="1:16" hidden="1" x14ac:dyDescent="0.25">
      <c r="A36" s="287" t="s">
        <v>1792</v>
      </c>
      <c r="B36" s="311" t="s">
        <v>1793</v>
      </c>
      <c r="C36" s="305"/>
      <c r="D36" s="288" t="s">
        <v>1794</v>
      </c>
      <c r="E36" s="288" t="s">
        <v>1741</v>
      </c>
      <c r="F36" s="289">
        <v>8701607899</v>
      </c>
      <c r="G36" s="290">
        <v>45883</v>
      </c>
      <c r="H36" s="291">
        <v>77</v>
      </c>
      <c r="I36" s="291">
        <v>77</v>
      </c>
      <c r="J36" s="291">
        <v>0</v>
      </c>
      <c r="K36" s="289" t="s">
        <v>1731</v>
      </c>
      <c r="L36" s="288" t="s">
        <v>1773</v>
      </c>
      <c r="M36" s="288" t="s">
        <v>1774</v>
      </c>
      <c r="N36" s="288" t="s">
        <v>1734</v>
      </c>
      <c r="O36" s="289" t="s">
        <v>1795</v>
      </c>
      <c r="P36" s="292"/>
    </row>
    <row r="37" spans="1:16" hidden="1" x14ac:dyDescent="0.25">
      <c r="A37" s="287" t="s">
        <v>1792</v>
      </c>
      <c r="B37" s="311" t="s">
        <v>1793</v>
      </c>
      <c r="C37" s="305"/>
      <c r="D37" s="288" t="s">
        <v>1794</v>
      </c>
      <c r="E37" s="288" t="s">
        <v>1741</v>
      </c>
      <c r="F37" s="289">
        <v>8701607844</v>
      </c>
      <c r="G37" s="290">
        <v>45883</v>
      </c>
      <c r="H37" s="291">
        <v>110</v>
      </c>
      <c r="I37" s="291">
        <v>110</v>
      </c>
      <c r="J37" s="291">
        <v>0</v>
      </c>
      <c r="K37" s="289" t="s">
        <v>1731</v>
      </c>
      <c r="L37" s="288" t="s">
        <v>1773</v>
      </c>
      <c r="M37" s="288" t="s">
        <v>1774</v>
      </c>
      <c r="N37" s="288" t="s">
        <v>1734</v>
      </c>
      <c r="O37" s="289" t="s">
        <v>1795</v>
      </c>
      <c r="P37" s="292"/>
    </row>
    <row r="38" spans="1:16" hidden="1" x14ac:dyDescent="0.25">
      <c r="A38" s="287" t="s">
        <v>1792</v>
      </c>
      <c r="B38" s="311" t="s">
        <v>1793</v>
      </c>
      <c r="C38" s="305"/>
      <c r="D38" s="288" t="s">
        <v>1794</v>
      </c>
      <c r="E38" s="288" t="s">
        <v>1741</v>
      </c>
      <c r="F38" s="289">
        <v>8701608018</v>
      </c>
      <c r="G38" s="290">
        <v>45883</v>
      </c>
      <c r="H38" s="291">
        <v>176</v>
      </c>
      <c r="I38" s="291">
        <v>176</v>
      </c>
      <c r="J38" s="291">
        <v>0</v>
      </c>
      <c r="K38" s="289" t="s">
        <v>1731</v>
      </c>
      <c r="L38" s="288" t="s">
        <v>1773</v>
      </c>
      <c r="M38" s="288" t="s">
        <v>1774</v>
      </c>
      <c r="N38" s="288" t="s">
        <v>1734</v>
      </c>
      <c r="O38" s="289" t="s">
        <v>1795</v>
      </c>
      <c r="P38" s="292"/>
    </row>
    <row r="39" spans="1:16" hidden="1" x14ac:dyDescent="0.25">
      <c r="A39" s="287" t="s">
        <v>1792</v>
      </c>
      <c r="B39" s="311" t="s">
        <v>1793</v>
      </c>
      <c r="C39" s="305"/>
      <c r="D39" s="288" t="s">
        <v>1794</v>
      </c>
      <c r="E39" s="288" t="s">
        <v>1741</v>
      </c>
      <c r="F39" s="289">
        <v>8701607879</v>
      </c>
      <c r="G39" s="290">
        <v>45883</v>
      </c>
      <c r="H39" s="291">
        <v>473</v>
      </c>
      <c r="I39" s="291">
        <v>473</v>
      </c>
      <c r="J39" s="291">
        <v>-473</v>
      </c>
      <c r="K39" s="289" t="s">
        <v>1731</v>
      </c>
      <c r="L39" s="288" t="s">
        <v>1773</v>
      </c>
      <c r="M39" s="288" t="s">
        <v>1774</v>
      </c>
      <c r="N39" s="288" t="s">
        <v>1734</v>
      </c>
      <c r="O39" s="289" t="s">
        <v>1795</v>
      </c>
      <c r="P39" s="292"/>
    </row>
    <row r="40" spans="1:16" hidden="1" x14ac:dyDescent="0.25">
      <c r="A40" s="287" t="s">
        <v>1792</v>
      </c>
      <c r="B40" s="311" t="s">
        <v>1793</v>
      </c>
      <c r="C40" s="305"/>
      <c r="D40" s="288" t="s">
        <v>1794</v>
      </c>
      <c r="E40" s="288" t="s">
        <v>1741</v>
      </c>
      <c r="F40" s="289">
        <v>8701608047</v>
      </c>
      <c r="G40" s="290">
        <v>45883</v>
      </c>
      <c r="H40" s="291">
        <v>475</v>
      </c>
      <c r="I40" s="291">
        <v>475</v>
      </c>
      <c r="J40" s="291">
        <v>0</v>
      </c>
      <c r="K40" s="289" t="s">
        <v>1731</v>
      </c>
      <c r="L40" s="288" t="s">
        <v>1773</v>
      </c>
      <c r="M40" s="288" t="s">
        <v>1774</v>
      </c>
      <c r="N40" s="288" t="s">
        <v>1734</v>
      </c>
      <c r="O40" s="289" t="s">
        <v>1795</v>
      </c>
      <c r="P40" s="292"/>
    </row>
    <row r="41" spans="1:16" hidden="1" x14ac:dyDescent="0.25">
      <c r="A41" s="287" t="s">
        <v>1792</v>
      </c>
      <c r="B41" s="311" t="s">
        <v>1793</v>
      </c>
      <c r="C41" s="305"/>
      <c r="D41" s="288" t="s">
        <v>1794</v>
      </c>
      <c r="E41" s="288" t="s">
        <v>1741</v>
      </c>
      <c r="F41" s="289">
        <v>8701610713</v>
      </c>
      <c r="G41" s="290">
        <v>45887</v>
      </c>
      <c r="H41" s="291">
        <v>4007</v>
      </c>
      <c r="I41" s="291">
        <v>4007</v>
      </c>
      <c r="J41" s="291">
        <v>0</v>
      </c>
      <c r="K41" s="289" t="s">
        <v>1731</v>
      </c>
      <c r="L41" s="288" t="s">
        <v>1773</v>
      </c>
      <c r="M41" s="288" t="s">
        <v>1774</v>
      </c>
      <c r="N41" s="288" t="s">
        <v>1734</v>
      </c>
      <c r="O41" s="289" t="s">
        <v>1795</v>
      </c>
      <c r="P41" s="292"/>
    </row>
    <row r="42" spans="1:16" hidden="1" x14ac:dyDescent="0.25">
      <c r="A42" s="287" t="s">
        <v>1792</v>
      </c>
      <c r="B42" s="311" t="s">
        <v>1793</v>
      </c>
      <c r="C42" s="305"/>
      <c r="D42" s="288" t="s">
        <v>1794</v>
      </c>
      <c r="E42" s="288" t="s">
        <v>1741</v>
      </c>
      <c r="F42" s="289">
        <v>8701621098</v>
      </c>
      <c r="G42" s="290">
        <v>45898</v>
      </c>
      <c r="H42" s="291">
        <v>704</v>
      </c>
      <c r="I42" s="291">
        <v>704</v>
      </c>
      <c r="J42" s="291">
        <v>0</v>
      </c>
      <c r="K42" s="289" t="s">
        <v>1731</v>
      </c>
      <c r="L42" s="288" t="s">
        <v>1773</v>
      </c>
      <c r="M42" s="288" t="s">
        <v>1774</v>
      </c>
      <c r="N42" s="288" t="s">
        <v>1734</v>
      </c>
      <c r="O42" s="289" t="s">
        <v>1795</v>
      </c>
      <c r="P42" s="292"/>
    </row>
    <row r="43" spans="1:16" hidden="1" x14ac:dyDescent="0.25">
      <c r="A43" s="287" t="s">
        <v>1792</v>
      </c>
      <c r="B43" s="311" t="s">
        <v>1793</v>
      </c>
      <c r="C43" s="305"/>
      <c r="D43" s="288" t="s">
        <v>1794</v>
      </c>
      <c r="E43" s="288" t="s">
        <v>1741</v>
      </c>
      <c r="F43" s="289">
        <v>8701622604</v>
      </c>
      <c r="G43" s="290">
        <v>45902</v>
      </c>
      <c r="H43" s="291">
        <v>710</v>
      </c>
      <c r="I43" s="291">
        <v>710</v>
      </c>
      <c r="J43" s="291">
        <v>0</v>
      </c>
      <c r="K43" s="289" t="s">
        <v>1731</v>
      </c>
      <c r="L43" s="288" t="s">
        <v>1773</v>
      </c>
      <c r="M43" s="288" t="s">
        <v>1774</v>
      </c>
      <c r="N43" s="288" t="s">
        <v>1734</v>
      </c>
      <c r="O43" s="289" t="s">
        <v>1795</v>
      </c>
      <c r="P43" s="292"/>
    </row>
    <row r="44" spans="1:16" hidden="1" x14ac:dyDescent="0.25">
      <c r="A44" s="287" t="s">
        <v>1792</v>
      </c>
      <c r="B44" s="311" t="s">
        <v>1793</v>
      </c>
      <c r="C44" s="305"/>
      <c r="D44" s="288" t="s">
        <v>1794</v>
      </c>
      <c r="E44" s="288" t="s">
        <v>1741</v>
      </c>
      <c r="F44" s="289"/>
      <c r="G44" s="290">
        <v>45736</v>
      </c>
      <c r="H44" s="291">
        <v>2934138</v>
      </c>
      <c r="I44" s="291">
        <v>2934138</v>
      </c>
      <c r="J44" s="291">
        <v>-2853899</v>
      </c>
      <c r="K44" s="289" t="s">
        <v>1731</v>
      </c>
      <c r="L44" s="288" t="s">
        <v>1773</v>
      </c>
      <c r="M44" s="288" t="s">
        <v>1774</v>
      </c>
      <c r="N44" s="288" t="s">
        <v>1734</v>
      </c>
      <c r="O44" s="289" t="s">
        <v>1791</v>
      </c>
      <c r="P44" s="292"/>
    </row>
    <row r="45" spans="1:16" hidden="1" x14ac:dyDescent="0.25">
      <c r="A45" s="287" t="s">
        <v>1792</v>
      </c>
      <c r="B45" s="311" t="s">
        <v>1793</v>
      </c>
      <c r="C45" s="305"/>
      <c r="D45" s="288" t="s">
        <v>1794</v>
      </c>
      <c r="E45" s="288" t="s">
        <v>1800</v>
      </c>
      <c r="F45" s="289">
        <v>8000763885</v>
      </c>
      <c r="G45" s="290">
        <v>46016</v>
      </c>
      <c r="H45" s="291">
        <v>86199</v>
      </c>
      <c r="I45" s="291">
        <v>86199</v>
      </c>
      <c r="J45" s="291">
        <v>0</v>
      </c>
      <c r="K45" s="289" t="s">
        <v>1731</v>
      </c>
      <c r="L45" s="288" t="s">
        <v>1773</v>
      </c>
      <c r="M45" s="288" t="s">
        <v>1774</v>
      </c>
      <c r="N45" s="288" t="s">
        <v>1734</v>
      </c>
      <c r="O45" s="289" t="s">
        <v>1795</v>
      </c>
      <c r="P45" s="292"/>
    </row>
    <row r="46" spans="1:16" hidden="1" x14ac:dyDescent="0.25">
      <c r="A46" s="287" t="s">
        <v>1792</v>
      </c>
      <c r="B46" s="311" t="s">
        <v>1793</v>
      </c>
      <c r="C46" s="305"/>
      <c r="D46" s="288" t="s">
        <v>1794</v>
      </c>
      <c r="E46" s="288" t="s">
        <v>1801</v>
      </c>
      <c r="F46" s="289">
        <v>8000806494</v>
      </c>
      <c r="G46" s="290">
        <v>46072</v>
      </c>
      <c r="H46" s="291">
        <v>500000.01</v>
      </c>
      <c r="I46" s="291">
        <v>500000.01</v>
      </c>
      <c r="J46" s="291">
        <v>0</v>
      </c>
      <c r="K46" s="289" t="s">
        <v>1731</v>
      </c>
      <c r="L46" s="288" t="s">
        <v>1773</v>
      </c>
      <c r="M46" s="288" t="s">
        <v>1774</v>
      </c>
      <c r="N46" s="288" t="s">
        <v>1734</v>
      </c>
      <c r="O46" s="289" t="s">
        <v>1795</v>
      </c>
      <c r="P46" s="292"/>
    </row>
    <row r="47" spans="1:16" hidden="1" x14ac:dyDescent="0.25">
      <c r="A47" s="287" t="s">
        <v>1802</v>
      </c>
      <c r="B47" s="311" t="s">
        <v>1803</v>
      </c>
      <c r="C47" s="305"/>
      <c r="D47" s="288" t="s">
        <v>1804</v>
      </c>
      <c r="E47" s="288" t="s">
        <v>1741</v>
      </c>
      <c r="F47" s="289"/>
      <c r="G47" s="290">
        <v>45712</v>
      </c>
      <c r="H47" s="291">
        <v>3499.42</v>
      </c>
      <c r="I47" s="291">
        <v>3499.42</v>
      </c>
      <c r="J47" s="291">
        <v>-3499.42</v>
      </c>
      <c r="K47" s="289" t="s">
        <v>1731</v>
      </c>
      <c r="L47" s="288" t="s">
        <v>1742</v>
      </c>
      <c r="M47" s="288" t="s">
        <v>1743</v>
      </c>
      <c r="N47" s="288" t="s">
        <v>1734</v>
      </c>
      <c r="O47" s="289" t="s">
        <v>1791</v>
      </c>
      <c r="P47" s="292"/>
    </row>
    <row r="48" spans="1:16" hidden="1" x14ac:dyDescent="0.25">
      <c r="A48" s="287" t="s">
        <v>1805</v>
      </c>
      <c r="B48" s="311" t="s">
        <v>1806</v>
      </c>
      <c r="C48" s="305"/>
      <c r="D48" s="288" t="s">
        <v>1807</v>
      </c>
      <c r="E48" s="288"/>
      <c r="F48" s="289">
        <v>8701780294</v>
      </c>
      <c r="G48" s="290">
        <v>46079</v>
      </c>
      <c r="H48" s="291">
        <v>36800</v>
      </c>
      <c r="I48" s="291">
        <v>0</v>
      </c>
      <c r="J48" s="291">
        <v>0</v>
      </c>
      <c r="K48" s="289" t="s">
        <v>1731</v>
      </c>
      <c r="L48" s="288" t="s">
        <v>1732</v>
      </c>
      <c r="M48" s="288" t="s">
        <v>1733</v>
      </c>
      <c r="N48" s="288" t="s">
        <v>1734</v>
      </c>
      <c r="O48" s="289" t="s">
        <v>1808</v>
      </c>
      <c r="P48" s="292"/>
    </row>
    <row r="49" spans="1:16" hidden="1" x14ac:dyDescent="0.25">
      <c r="A49" s="287" t="s">
        <v>1809</v>
      </c>
      <c r="B49" s="311" t="s">
        <v>1810</v>
      </c>
      <c r="C49" s="305"/>
      <c r="D49" s="288" t="s">
        <v>1811</v>
      </c>
      <c r="E49" s="288" t="s">
        <v>1812</v>
      </c>
      <c r="F49" s="289">
        <v>8000279337</v>
      </c>
      <c r="G49" s="290">
        <v>46078</v>
      </c>
      <c r="H49" s="291">
        <v>3383582.95</v>
      </c>
      <c r="I49" s="291">
        <v>0</v>
      </c>
      <c r="J49" s="291">
        <v>0</v>
      </c>
      <c r="K49" s="289" t="s">
        <v>1731</v>
      </c>
      <c r="L49" s="288" t="s">
        <v>1813</v>
      </c>
      <c r="M49" s="288" t="s">
        <v>1814</v>
      </c>
      <c r="N49" s="288" t="s">
        <v>1734</v>
      </c>
      <c r="O49" s="289" t="s">
        <v>1815</v>
      </c>
      <c r="P49" s="292"/>
    </row>
    <row r="50" spans="1:16" hidden="1" x14ac:dyDescent="0.25">
      <c r="A50" s="287" t="s">
        <v>1816</v>
      </c>
      <c r="B50" s="311" t="s">
        <v>1817</v>
      </c>
      <c r="C50" s="305"/>
      <c r="D50" s="288" t="s">
        <v>1818</v>
      </c>
      <c r="E50" s="288" t="s">
        <v>1741</v>
      </c>
      <c r="F50" s="289"/>
      <c r="G50" s="290">
        <v>45519</v>
      </c>
      <c r="H50" s="291">
        <v>7700</v>
      </c>
      <c r="I50" s="291">
        <v>7700</v>
      </c>
      <c r="J50" s="291">
        <v>0</v>
      </c>
      <c r="K50" s="289" t="s">
        <v>1731</v>
      </c>
      <c r="L50" s="288" t="s">
        <v>1732</v>
      </c>
      <c r="M50" s="288" t="s">
        <v>1733</v>
      </c>
      <c r="N50" s="288" t="s">
        <v>1734</v>
      </c>
      <c r="O50" s="289" t="s">
        <v>1791</v>
      </c>
      <c r="P50" s="292"/>
    </row>
    <row r="51" spans="1:16" ht="26.25" hidden="1" x14ac:dyDescent="0.25">
      <c r="A51" s="287" t="s">
        <v>1819</v>
      </c>
      <c r="B51" s="311" t="s">
        <v>1820</v>
      </c>
      <c r="C51" s="305"/>
      <c r="D51" s="288" t="s">
        <v>1821</v>
      </c>
      <c r="E51" s="288" t="s">
        <v>1822</v>
      </c>
      <c r="F51" s="289">
        <v>8000802141</v>
      </c>
      <c r="G51" s="290">
        <v>46072</v>
      </c>
      <c r="H51" s="291">
        <v>21667.200000000001</v>
      </c>
      <c r="I51" s="291">
        <v>0</v>
      </c>
      <c r="J51" s="291">
        <v>0</v>
      </c>
      <c r="K51" s="289" t="s">
        <v>1731</v>
      </c>
      <c r="L51" s="288" t="s">
        <v>1773</v>
      </c>
      <c r="M51" s="288" t="s">
        <v>1774</v>
      </c>
      <c r="N51" s="288" t="s">
        <v>1734</v>
      </c>
      <c r="O51" s="289" t="s">
        <v>1823</v>
      </c>
      <c r="P51" s="292"/>
    </row>
    <row r="52" spans="1:16" hidden="1" x14ac:dyDescent="0.25">
      <c r="A52" s="287" t="s">
        <v>1824</v>
      </c>
      <c r="B52" s="311" t="s">
        <v>1825</v>
      </c>
      <c r="C52" s="305"/>
      <c r="D52" s="288" t="s">
        <v>1826</v>
      </c>
      <c r="E52" s="288" t="s">
        <v>1827</v>
      </c>
      <c r="F52" s="289">
        <v>8000767016</v>
      </c>
      <c r="G52" s="290">
        <v>46078</v>
      </c>
      <c r="H52" s="291">
        <v>51104.03</v>
      </c>
      <c r="I52" s="291">
        <v>51104.03</v>
      </c>
      <c r="J52" s="291">
        <v>0</v>
      </c>
      <c r="K52" s="289" t="s">
        <v>1731</v>
      </c>
      <c r="L52" s="288" t="s">
        <v>1828</v>
      </c>
      <c r="M52" s="288" t="s">
        <v>1829</v>
      </c>
      <c r="N52" s="288" t="s">
        <v>1830</v>
      </c>
      <c r="O52" s="289" t="s">
        <v>1831</v>
      </c>
      <c r="P52" s="292"/>
    </row>
    <row r="53" spans="1:16" hidden="1" x14ac:dyDescent="0.25">
      <c r="A53" s="287" t="s">
        <v>1832</v>
      </c>
      <c r="B53" s="311" t="s">
        <v>1833</v>
      </c>
      <c r="C53" s="305"/>
      <c r="D53" s="288" t="s">
        <v>1834</v>
      </c>
      <c r="E53" s="288" t="s">
        <v>1835</v>
      </c>
      <c r="F53" s="289">
        <v>8000461731</v>
      </c>
      <c r="G53" s="290">
        <v>45991</v>
      </c>
      <c r="H53" s="291">
        <v>11197</v>
      </c>
      <c r="I53" s="291">
        <v>11197</v>
      </c>
      <c r="J53" s="291">
        <v>0</v>
      </c>
      <c r="K53" s="289" t="s">
        <v>1731</v>
      </c>
      <c r="L53" s="288" t="s">
        <v>1773</v>
      </c>
      <c r="M53" s="288" t="s">
        <v>1774</v>
      </c>
      <c r="N53" s="288" t="s">
        <v>1734</v>
      </c>
      <c r="O53" s="289" t="s">
        <v>1768</v>
      </c>
      <c r="P53" s="292"/>
    </row>
    <row r="54" spans="1:16" hidden="1" x14ac:dyDescent="0.25">
      <c r="A54" s="287" t="s">
        <v>1836</v>
      </c>
      <c r="B54" s="311" t="s">
        <v>1837</v>
      </c>
      <c r="C54" s="305"/>
      <c r="D54" s="288" t="s">
        <v>1838</v>
      </c>
      <c r="E54" s="288"/>
      <c r="F54" s="289"/>
      <c r="G54" s="290">
        <v>45838</v>
      </c>
      <c r="H54" s="291">
        <v>972629.74</v>
      </c>
      <c r="I54" s="291">
        <v>972629.74</v>
      </c>
      <c r="J54" s="291">
        <v>0</v>
      </c>
      <c r="K54" s="289" t="s">
        <v>1731</v>
      </c>
      <c r="L54" s="288" t="s">
        <v>1839</v>
      </c>
      <c r="M54" s="288" t="s">
        <v>1840</v>
      </c>
      <c r="N54" s="288" t="s">
        <v>1841</v>
      </c>
      <c r="O54" s="289" t="s">
        <v>1791</v>
      </c>
      <c r="P54" s="292"/>
    </row>
    <row r="55" spans="1:16" hidden="1" x14ac:dyDescent="0.25">
      <c r="A55" s="287" t="s">
        <v>1836</v>
      </c>
      <c r="B55" s="311" t="s">
        <v>1837</v>
      </c>
      <c r="C55" s="305"/>
      <c r="D55" s="288" t="s">
        <v>1838</v>
      </c>
      <c r="E55" s="288" t="s">
        <v>1741</v>
      </c>
      <c r="F55" s="289"/>
      <c r="G55" s="290">
        <v>45562</v>
      </c>
      <c r="H55" s="291">
        <v>989715.33</v>
      </c>
      <c r="I55" s="291">
        <v>989715.33</v>
      </c>
      <c r="J55" s="291">
        <v>0</v>
      </c>
      <c r="K55" s="289" t="s">
        <v>1731</v>
      </c>
      <c r="L55" s="288" t="s">
        <v>1732</v>
      </c>
      <c r="M55" s="288" t="s">
        <v>1733</v>
      </c>
      <c r="N55" s="288" t="s">
        <v>1734</v>
      </c>
      <c r="O55" s="289" t="s">
        <v>1791</v>
      </c>
      <c r="P55" s="292"/>
    </row>
    <row r="56" spans="1:16" hidden="1" x14ac:dyDescent="0.25">
      <c r="A56" s="287" t="s">
        <v>1836</v>
      </c>
      <c r="B56" s="311" t="s">
        <v>1837</v>
      </c>
      <c r="C56" s="305"/>
      <c r="D56" s="288" t="s">
        <v>1838</v>
      </c>
      <c r="E56" s="288" t="s">
        <v>1842</v>
      </c>
      <c r="F56" s="289"/>
      <c r="G56" s="290">
        <v>45589</v>
      </c>
      <c r="H56" s="291">
        <v>211913.93</v>
      </c>
      <c r="I56" s="291">
        <v>211913.93</v>
      </c>
      <c r="J56" s="291">
        <v>0</v>
      </c>
      <c r="K56" s="289" t="s">
        <v>1731</v>
      </c>
      <c r="L56" s="288" t="s">
        <v>1732</v>
      </c>
      <c r="M56" s="288" t="s">
        <v>1733</v>
      </c>
      <c r="N56" s="288" t="s">
        <v>1734</v>
      </c>
      <c r="O56" s="289" t="s">
        <v>1791</v>
      </c>
      <c r="P56" s="292"/>
    </row>
    <row r="57" spans="1:16" hidden="1" x14ac:dyDescent="0.25">
      <c r="A57" s="287" t="s">
        <v>1843</v>
      </c>
      <c r="B57" s="311" t="s">
        <v>1844</v>
      </c>
      <c r="C57" s="305"/>
      <c r="D57" s="288" t="s">
        <v>1845</v>
      </c>
      <c r="E57" s="288" t="s">
        <v>1846</v>
      </c>
      <c r="F57" s="289">
        <v>8000725986</v>
      </c>
      <c r="G57" s="290">
        <v>45610</v>
      </c>
      <c r="H57" s="291">
        <v>21371.58</v>
      </c>
      <c r="I57" s="291">
        <v>21371.58</v>
      </c>
      <c r="J57" s="291">
        <v>0</v>
      </c>
      <c r="K57" s="289" t="s">
        <v>1731</v>
      </c>
      <c r="L57" s="288" t="s">
        <v>1732</v>
      </c>
      <c r="M57" s="288" t="s">
        <v>1733</v>
      </c>
      <c r="N57" s="288" t="s">
        <v>1734</v>
      </c>
      <c r="O57" s="289" t="s">
        <v>1847</v>
      </c>
      <c r="P57" s="292"/>
    </row>
    <row r="58" spans="1:16" hidden="1" x14ac:dyDescent="0.25">
      <c r="A58" s="287" t="s">
        <v>1843</v>
      </c>
      <c r="B58" s="311" t="s">
        <v>1844</v>
      </c>
      <c r="C58" s="305"/>
      <c r="D58" s="288" t="s">
        <v>1845</v>
      </c>
      <c r="E58" s="288" t="s">
        <v>1741</v>
      </c>
      <c r="F58" s="289"/>
      <c r="G58" s="290">
        <v>45576</v>
      </c>
      <c r="H58" s="291">
        <v>110630.21</v>
      </c>
      <c r="I58" s="291">
        <v>110630.21</v>
      </c>
      <c r="J58" s="291">
        <v>0</v>
      </c>
      <c r="K58" s="289" t="s">
        <v>1731</v>
      </c>
      <c r="L58" s="288" t="s">
        <v>1732</v>
      </c>
      <c r="M58" s="288" t="s">
        <v>1733</v>
      </c>
      <c r="N58" s="288" t="s">
        <v>1734</v>
      </c>
      <c r="O58" s="289" t="s">
        <v>1791</v>
      </c>
      <c r="P58" s="292"/>
    </row>
    <row r="59" spans="1:16" hidden="1" x14ac:dyDescent="0.25">
      <c r="A59" s="287" t="s">
        <v>1848</v>
      </c>
      <c r="B59" s="311" t="s">
        <v>1849</v>
      </c>
      <c r="C59" s="305"/>
      <c r="D59" s="288" t="s">
        <v>1850</v>
      </c>
      <c r="E59" s="288" t="s">
        <v>1851</v>
      </c>
      <c r="F59" s="289">
        <v>8000725980</v>
      </c>
      <c r="G59" s="290">
        <v>45538</v>
      </c>
      <c r="H59" s="291">
        <v>31459.73</v>
      </c>
      <c r="I59" s="291">
        <v>31459.73</v>
      </c>
      <c r="J59" s="291">
        <v>0</v>
      </c>
      <c r="K59" s="289" t="s">
        <v>1731</v>
      </c>
      <c r="L59" s="288" t="s">
        <v>1773</v>
      </c>
      <c r="M59" s="288" t="s">
        <v>1774</v>
      </c>
      <c r="N59" s="288" t="s">
        <v>1734</v>
      </c>
      <c r="O59" s="289" t="s">
        <v>1847</v>
      </c>
      <c r="P59" s="292"/>
    </row>
    <row r="60" spans="1:16" hidden="1" x14ac:dyDescent="0.25">
      <c r="A60" s="287" t="s">
        <v>1848</v>
      </c>
      <c r="B60" s="311" t="s">
        <v>1849</v>
      </c>
      <c r="C60" s="305"/>
      <c r="D60" s="288" t="s">
        <v>1850</v>
      </c>
      <c r="E60" s="288" t="s">
        <v>1741</v>
      </c>
      <c r="F60" s="289"/>
      <c r="G60" s="290">
        <v>45544</v>
      </c>
      <c r="H60" s="291">
        <v>101377.3</v>
      </c>
      <c r="I60" s="291">
        <v>101377.3</v>
      </c>
      <c r="J60" s="291">
        <v>0</v>
      </c>
      <c r="K60" s="289" t="s">
        <v>1731</v>
      </c>
      <c r="L60" s="288" t="s">
        <v>1732</v>
      </c>
      <c r="M60" s="288" t="s">
        <v>1733</v>
      </c>
      <c r="N60" s="288" t="s">
        <v>1734</v>
      </c>
      <c r="O60" s="289" t="s">
        <v>1791</v>
      </c>
      <c r="P60" s="292"/>
    </row>
    <row r="61" spans="1:16" hidden="1" x14ac:dyDescent="0.25">
      <c r="A61" s="287" t="s">
        <v>1852</v>
      </c>
      <c r="B61" s="311" t="s">
        <v>1853</v>
      </c>
      <c r="C61" s="305"/>
      <c r="D61" s="288" t="s">
        <v>1854</v>
      </c>
      <c r="E61" s="288" t="s">
        <v>1855</v>
      </c>
      <c r="F61" s="289">
        <v>8000494184</v>
      </c>
      <c r="G61" s="290">
        <v>45911</v>
      </c>
      <c r="H61" s="291">
        <v>11287200</v>
      </c>
      <c r="I61" s="291">
        <v>7281600</v>
      </c>
      <c r="J61" s="291">
        <v>0</v>
      </c>
      <c r="K61" s="289" t="s">
        <v>1731</v>
      </c>
      <c r="L61" s="288" t="s">
        <v>1732</v>
      </c>
      <c r="M61" s="288" t="s">
        <v>1733</v>
      </c>
      <c r="N61" s="288" t="s">
        <v>1734</v>
      </c>
      <c r="O61" s="289" t="s">
        <v>1856</v>
      </c>
      <c r="P61" s="292"/>
    </row>
    <row r="62" spans="1:16" hidden="1" x14ac:dyDescent="0.25">
      <c r="A62" s="287" t="s">
        <v>1852</v>
      </c>
      <c r="B62" s="311" t="s">
        <v>1853</v>
      </c>
      <c r="C62" s="305"/>
      <c r="D62" s="288" t="s">
        <v>1854</v>
      </c>
      <c r="E62" s="288" t="s">
        <v>1857</v>
      </c>
      <c r="F62" s="289">
        <v>8000795663</v>
      </c>
      <c r="G62" s="290">
        <v>46020</v>
      </c>
      <c r="H62" s="291">
        <v>37244400</v>
      </c>
      <c r="I62" s="291">
        <v>0</v>
      </c>
      <c r="J62" s="291">
        <v>0</v>
      </c>
      <c r="K62" s="289" t="s">
        <v>1731</v>
      </c>
      <c r="L62" s="288" t="s">
        <v>1732</v>
      </c>
      <c r="M62" s="288" t="s">
        <v>1733</v>
      </c>
      <c r="N62" s="288" t="s">
        <v>1734</v>
      </c>
      <c r="O62" s="289" t="s">
        <v>1858</v>
      </c>
      <c r="P62" s="292"/>
    </row>
    <row r="63" spans="1:16" hidden="1" x14ac:dyDescent="0.25">
      <c r="A63" s="287" t="s">
        <v>1859</v>
      </c>
      <c r="B63" s="311" t="s">
        <v>1860</v>
      </c>
      <c r="C63" s="305"/>
      <c r="D63" s="288" t="s">
        <v>1861</v>
      </c>
      <c r="E63" s="288" t="s">
        <v>1741</v>
      </c>
      <c r="F63" s="289"/>
      <c r="G63" s="290">
        <v>45525</v>
      </c>
      <c r="H63" s="291">
        <v>294105.59999999998</v>
      </c>
      <c r="I63" s="291">
        <v>294105.59999999998</v>
      </c>
      <c r="J63" s="291">
        <v>-294105.59999999998</v>
      </c>
      <c r="K63" s="289" t="s">
        <v>1731</v>
      </c>
      <c r="L63" s="288" t="s">
        <v>1732</v>
      </c>
      <c r="M63" s="288" t="s">
        <v>1733</v>
      </c>
      <c r="N63" s="288" t="s">
        <v>1734</v>
      </c>
      <c r="O63" s="289" t="s">
        <v>1791</v>
      </c>
      <c r="P63" s="292"/>
    </row>
    <row r="64" spans="1:16" hidden="1" x14ac:dyDescent="0.25">
      <c r="A64" s="287" t="s">
        <v>1862</v>
      </c>
      <c r="B64" s="311" t="s">
        <v>71</v>
      </c>
      <c r="C64" s="305"/>
      <c r="D64" s="288" t="s">
        <v>1863</v>
      </c>
      <c r="E64" s="288" t="s">
        <v>1864</v>
      </c>
      <c r="F64" s="289">
        <v>8000583308</v>
      </c>
      <c r="G64" s="290">
        <v>45729</v>
      </c>
      <c r="H64" s="291">
        <v>353903.6</v>
      </c>
      <c r="I64" s="291">
        <v>353903.6</v>
      </c>
      <c r="J64" s="291">
        <v>0</v>
      </c>
      <c r="K64" s="289" t="s">
        <v>1731</v>
      </c>
      <c r="L64" s="288" t="s">
        <v>1732</v>
      </c>
      <c r="M64" s="288" t="s">
        <v>1733</v>
      </c>
      <c r="N64" s="288" t="s">
        <v>1734</v>
      </c>
      <c r="O64" s="289" t="s">
        <v>1865</v>
      </c>
      <c r="P64" s="292"/>
    </row>
    <row r="65" spans="1:16" hidden="1" x14ac:dyDescent="0.25">
      <c r="A65" s="287" t="s">
        <v>1862</v>
      </c>
      <c r="B65" s="311" t="s">
        <v>71</v>
      </c>
      <c r="C65" s="305"/>
      <c r="D65" s="288" t="s">
        <v>1863</v>
      </c>
      <c r="E65" s="288" t="s">
        <v>1866</v>
      </c>
      <c r="F65" s="289">
        <v>8000740343</v>
      </c>
      <c r="G65" s="290">
        <v>45827</v>
      </c>
      <c r="H65" s="291">
        <v>1736266.51</v>
      </c>
      <c r="I65" s="291">
        <v>1736266.51</v>
      </c>
      <c r="J65" s="291">
        <v>0</v>
      </c>
      <c r="K65" s="289" t="s">
        <v>1731</v>
      </c>
      <c r="L65" s="288" t="s">
        <v>1732</v>
      </c>
      <c r="M65" s="288" t="s">
        <v>1733</v>
      </c>
      <c r="N65" s="288" t="s">
        <v>1734</v>
      </c>
      <c r="O65" s="289" t="s">
        <v>1865</v>
      </c>
      <c r="P65" s="292"/>
    </row>
    <row r="66" spans="1:16" hidden="1" x14ac:dyDescent="0.25">
      <c r="A66" s="287" t="s">
        <v>1862</v>
      </c>
      <c r="B66" s="311" t="s">
        <v>71</v>
      </c>
      <c r="C66" s="305"/>
      <c r="D66" s="288" t="s">
        <v>1863</v>
      </c>
      <c r="E66" s="288" t="s">
        <v>1867</v>
      </c>
      <c r="F66" s="289">
        <v>8000745420</v>
      </c>
      <c r="G66" s="290">
        <v>45841</v>
      </c>
      <c r="H66" s="291">
        <v>133.22999999999999</v>
      </c>
      <c r="I66" s="291">
        <v>133.22999999999999</v>
      </c>
      <c r="J66" s="291">
        <v>0</v>
      </c>
      <c r="K66" s="289" t="s">
        <v>1731</v>
      </c>
      <c r="L66" s="288" t="s">
        <v>1732</v>
      </c>
      <c r="M66" s="288" t="s">
        <v>1733</v>
      </c>
      <c r="N66" s="288" t="s">
        <v>1734</v>
      </c>
      <c r="O66" s="289" t="s">
        <v>1868</v>
      </c>
      <c r="P66" s="292"/>
    </row>
    <row r="67" spans="1:16" hidden="1" x14ac:dyDescent="0.25">
      <c r="A67" s="287" t="s">
        <v>1862</v>
      </c>
      <c r="B67" s="311" t="s">
        <v>71</v>
      </c>
      <c r="C67" s="305"/>
      <c r="D67" s="288" t="s">
        <v>1863</v>
      </c>
      <c r="E67" s="288" t="s">
        <v>1869</v>
      </c>
      <c r="F67" s="289">
        <v>8000745434</v>
      </c>
      <c r="G67" s="290">
        <v>45841</v>
      </c>
      <c r="H67" s="291">
        <v>791454.19</v>
      </c>
      <c r="I67" s="291">
        <v>791454.19</v>
      </c>
      <c r="J67" s="291">
        <v>0</v>
      </c>
      <c r="K67" s="289" t="s">
        <v>1731</v>
      </c>
      <c r="L67" s="288" t="s">
        <v>1732</v>
      </c>
      <c r="M67" s="288" t="s">
        <v>1733</v>
      </c>
      <c r="N67" s="288" t="s">
        <v>1734</v>
      </c>
      <c r="O67" s="289" t="s">
        <v>1868</v>
      </c>
      <c r="P67" s="292"/>
    </row>
    <row r="68" spans="1:16" hidden="1" x14ac:dyDescent="0.25">
      <c r="A68" s="287" t="s">
        <v>1862</v>
      </c>
      <c r="B68" s="311" t="s">
        <v>71</v>
      </c>
      <c r="C68" s="305"/>
      <c r="D68" s="288" t="s">
        <v>1863</v>
      </c>
      <c r="E68" s="288" t="s">
        <v>1870</v>
      </c>
      <c r="F68" s="289">
        <v>8000781417</v>
      </c>
      <c r="G68" s="290">
        <v>46058</v>
      </c>
      <c r="H68" s="291">
        <v>9439821.3900000006</v>
      </c>
      <c r="I68" s="291">
        <v>0</v>
      </c>
      <c r="J68" s="291">
        <v>0</v>
      </c>
      <c r="K68" s="289" t="s">
        <v>1731</v>
      </c>
      <c r="L68" s="288" t="s">
        <v>1732</v>
      </c>
      <c r="M68" s="288" t="s">
        <v>1733</v>
      </c>
      <c r="N68" s="288" t="s">
        <v>1734</v>
      </c>
      <c r="O68" s="289" t="s">
        <v>1865</v>
      </c>
      <c r="P68" s="292"/>
    </row>
    <row r="69" spans="1:16" hidden="1" x14ac:dyDescent="0.25">
      <c r="A69" s="287" t="s">
        <v>1871</v>
      </c>
      <c r="B69" s="311" t="s">
        <v>1872</v>
      </c>
      <c r="C69" s="305"/>
      <c r="D69" s="288" t="s">
        <v>1873</v>
      </c>
      <c r="E69" s="288" t="s">
        <v>1741</v>
      </c>
      <c r="F69" s="289">
        <v>8701745339</v>
      </c>
      <c r="G69" s="290">
        <v>46051</v>
      </c>
      <c r="H69" s="291">
        <v>21143</v>
      </c>
      <c r="I69" s="291">
        <v>21143</v>
      </c>
      <c r="J69" s="291">
        <v>0</v>
      </c>
      <c r="K69" s="289" t="s">
        <v>1731</v>
      </c>
      <c r="L69" s="288" t="s">
        <v>1773</v>
      </c>
      <c r="M69" s="288" t="s">
        <v>1774</v>
      </c>
      <c r="N69" s="288" t="s">
        <v>1734</v>
      </c>
      <c r="O69" s="289" t="s">
        <v>1874</v>
      </c>
      <c r="P69" s="292"/>
    </row>
    <row r="70" spans="1:16" hidden="1" x14ac:dyDescent="0.25">
      <c r="A70" s="287" t="s">
        <v>1875</v>
      </c>
      <c r="B70" s="311" t="s">
        <v>1876</v>
      </c>
      <c r="C70" s="305"/>
      <c r="D70" s="288" t="s">
        <v>1877</v>
      </c>
      <c r="E70" s="288"/>
      <c r="F70" s="289"/>
      <c r="G70" s="290">
        <v>45708</v>
      </c>
      <c r="H70" s="291">
        <v>319115</v>
      </c>
      <c r="I70" s="291">
        <v>319115</v>
      </c>
      <c r="J70" s="291">
        <v>-319115</v>
      </c>
      <c r="K70" s="289" t="s">
        <v>1731</v>
      </c>
      <c r="L70" s="288" t="s">
        <v>1732</v>
      </c>
      <c r="M70" s="288" t="s">
        <v>1733</v>
      </c>
      <c r="N70" s="288" t="s">
        <v>1734</v>
      </c>
      <c r="O70" s="289" t="s">
        <v>1791</v>
      </c>
      <c r="P70" s="292"/>
    </row>
    <row r="71" spans="1:16" hidden="1" x14ac:dyDescent="0.25">
      <c r="A71" s="287" t="s">
        <v>1875</v>
      </c>
      <c r="B71" s="311" t="s">
        <v>1876</v>
      </c>
      <c r="C71" s="305"/>
      <c r="D71" s="288" t="s">
        <v>1877</v>
      </c>
      <c r="E71" s="288" t="s">
        <v>1878</v>
      </c>
      <c r="F71" s="289">
        <v>8000725609</v>
      </c>
      <c r="G71" s="290">
        <v>45610</v>
      </c>
      <c r="H71" s="291">
        <v>2170859.3199999998</v>
      </c>
      <c r="I71" s="291">
        <v>2170859.3199999998</v>
      </c>
      <c r="J71" s="291">
        <v>-150077.65</v>
      </c>
      <c r="K71" s="289" t="s">
        <v>1731</v>
      </c>
      <c r="L71" s="288" t="s">
        <v>1732</v>
      </c>
      <c r="M71" s="288" t="s">
        <v>1733</v>
      </c>
      <c r="N71" s="288" t="s">
        <v>1734</v>
      </c>
      <c r="O71" s="289" t="s">
        <v>1879</v>
      </c>
      <c r="P71" s="292"/>
    </row>
    <row r="72" spans="1:16" hidden="1" x14ac:dyDescent="0.25">
      <c r="A72" s="287" t="s">
        <v>1875</v>
      </c>
      <c r="B72" s="311" t="s">
        <v>1876</v>
      </c>
      <c r="C72" s="305"/>
      <c r="D72" s="288" t="s">
        <v>1877</v>
      </c>
      <c r="E72" s="288" t="s">
        <v>1880</v>
      </c>
      <c r="F72" s="289"/>
      <c r="G72" s="290">
        <v>45512</v>
      </c>
      <c r="H72" s="291">
        <v>518024.4</v>
      </c>
      <c r="I72" s="291">
        <v>518024.4</v>
      </c>
      <c r="J72" s="291">
        <v>0</v>
      </c>
      <c r="K72" s="289" t="s">
        <v>1731</v>
      </c>
      <c r="L72" s="288" t="s">
        <v>1732</v>
      </c>
      <c r="M72" s="288" t="s">
        <v>1733</v>
      </c>
      <c r="N72" s="288" t="s">
        <v>1734</v>
      </c>
      <c r="O72" s="289" t="s">
        <v>1791</v>
      </c>
      <c r="P72" s="292"/>
    </row>
    <row r="73" spans="1:16" hidden="1" x14ac:dyDescent="0.25">
      <c r="A73" s="287" t="s">
        <v>1875</v>
      </c>
      <c r="B73" s="311" t="s">
        <v>1876</v>
      </c>
      <c r="C73" s="305"/>
      <c r="D73" s="288" t="s">
        <v>1877</v>
      </c>
      <c r="E73" s="288" t="s">
        <v>1741</v>
      </c>
      <c r="F73" s="289"/>
      <c r="G73" s="290">
        <v>45596</v>
      </c>
      <c r="H73" s="291">
        <v>2072093.82</v>
      </c>
      <c r="I73" s="291">
        <v>2072093.82</v>
      </c>
      <c r="J73" s="291">
        <v>0</v>
      </c>
      <c r="K73" s="289" t="s">
        <v>1731</v>
      </c>
      <c r="L73" s="288" t="s">
        <v>1732</v>
      </c>
      <c r="M73" s="288" t="s">
        <v>1733</v>
      </c>
      <c r="N73" s="288" t="s">
        <v>1734</v>
      </c>
      <c r="O73" s="289" t="s">
        <v>1791</v>
      </c>
      <c r="P73" s="292"/>
    </row>
    <row r="74" spans="1:16" hidden="1" x14ac:dyDescent="0.25">
      <c r="A74" s="287" t="s">
        <v>1875</v>
      </c>
      <c r="B74" s="311" t="s">
        <v>1876</v>
      </c>
      <c r="C74" s="305"/>
      <c r="D74" s="288" t="s">
        <v>1877</v>
      </c>
      <c r="E74" s="288" t="s">
        <v>1741</v>
      </c>
      <c r="F74" s="289"/>
      <c r="G74" s="290">
        <v>45499</v>
      </c>
      <c r="H74" s="291">
        <v>61441</v>
      </c>
      <c r="I74" s="291">
        <v>61441</v>
      </c>
      <c r="J74" s="291">
        <v>0</v>
      </c>
      <c r="K74" s="289" t="s">
        <v>1731</v>
      </c>
      <c r="L74" s="288" t="s">
        <v>1773</v>
      </c>
      <c r="M74" s="288" t="s">
        <v>1774</v>
      </c>
      <c r="N74" s="288" t="s">
        <v>1734</v>
      </c>
      <c r="O74" s="289" t="s">
        <v>1791</v>
      </c>
      <c r="P74" s="292"/>
    </row>
    <row r="75" spans="1:16" hidden="1" x14ac:dyDescent="0.25">
      <c r="A75" s="287" t="s">
        <v>1881</v>
      </c>
      <c r="B75" s="311" t="s">
        <v>1882</v>
      </c>
      <c r="C75" s="305"/>
      <c r="D75" s="288" t="s">
        <v>1883</v>
      </c>
      <c r="E75" s="288"/>
      <c r="F75" s="289">
        <v>8701784426</v>
      </c>
      <c r="G75" s="290">
        <v>46079</v>
      </c>
      <c r="H75" s="291">
        <v>16260.59</v>
      </c>
      <c r="I75" s="291">
        <v>0</v>
      </c>
      <c r="J75" s="291">
        <v>0</v>
      </c>
      <c r="K75" s="289" t="s">
        <v>1731</v>
      </c>
      <c r="L75" s="288" t="s">
        <v>1732</v>
      </c>
      <c r="M75" s="288" t="s">
        <v>1733</v>
      </c>
      <c r="N75" s="288" t="s">
        <v>1734</v>
      </c>
      <c r="O75" s="289" t="s">
        <v>1884</v>
      </c>
      <c r="P75" s="292"/>
    </row>
    <row r="76" spans="1:16" hidden="1" x14ac:dyDescent="0.25">
      <c r="A76" s="287" t="s">
        <v>1885</v>
      </c>
      <c r="B76" s="311" t="s">
        <v>1886</v>
      </c>
      <c r="C76" s="305"/>
      <c r="D76" s="288" t="s">
        <v>1887</v>
      </c>
      <c r="E76" s="288"/>
      <c r="F76" s="289">
        <v>8701733778</v>
      </c>
      <c r="G76" s="290">
        <v>46037</v>
      </c>
      <c r="H76" s="291">
        <v>24400</v>
      </c>
      <c r="I76" s="291">
        <v>24400</v>
      </c>
      <c r="J76" s="291">
        <v>0</v>
      </c>
      <c r="K76" s="289" t="s">
        <v>1731</v>
      </c>
      <c r="L76" s="288" t="s">
        <v>1742</v>
      </c>
      <c r="M76" s="288" t="s">
        <v>1743</v>
      </c>
      <c r="N76" s="288" t="s">
        <v>1734</v>
      </c>
      <c r="O76" s="289" t="s">
        <v>1888</v>
      </c>
      <c r="P76" s="292"/>
    </row>
    <row r="77" spans="1:16" hidden="1" x14ac:dyDescent="0.25">
      <c r="A77" s="287" t="s">
        <v>1889</v>
      </c>
      <c r="B77" s="311" t="s">
        <v>1890</v>
      </c>
      <c r="C77" s="305"/>
      <c r="D77" s="288" t="s">
        <v>1891</v>
      </c>
      <c r="E77" s="288"/>
      <c r="F77" s="289">
        <v>8701707275</v>
      </c>
      <c r="G77" s="290">
        <v>45995</v>
      </c>
      <c r="H77" s="291">
        <v>500</v>
      </c>
      <c r="I77" s="291">
        <v>500</v>
      </c>
      <c r="J77" s="291">
        <v>0</v>
      </c>
      <c r="K77" s="289" t="s">
        <v>1731</v>
      </c>
      <c r="L77" s="288" t="s">
        <v>1773</v>
      </c>
      <c r="M77" s="288" t="s">
        <v>1774</v>
      </c>
      <c r="N77" s="288" t="s">
        <v>1734</v>
      </c>
      <c r="O77" s="289" t="s">
        <v>1892</v>
      </c>
      <c r="P77" s="292"/>
    </row>
    <row r="78" spans="1:16" hidden="1" x14ac:dyDescent="0.25">
      <c r="A78" s="287" t="s">
        <v>1889</v>
      </c>
      <c r="B78" s="311" t="s">
        <v>1890</v>
      </c>
      <c r="C78" s="305"/>
      <c r="D78" s="288" t="s">
        <v>1891</v>
      </c>
      <c r="E78" s="288"/>
      <c r="F78" s="289">
        <v>8701707272</v>
      </c>
      <c r="G78" s="290">
        <v>45995</v>
      </c>
      <c r="H78" s="291">
        <v>500</v>
      </c>
      <c r="I78" s="291">
        <v>500</v>
      </c>
      <c r="J78" s="291">
        <v>0</v>
      </c>
      <c r="K78" s="289" t="s">
        <v>1731</v>
      </c>
      <c r="L78" s="288" t="s">
        <v>1773</v>
      </c>
      <c r="M78" s="288" t="s">
        <v>1774</v>
      </c>
      <c r="N78" s="288" t="s">
        <v>1734</v>
      </c>
      <c r="O78" s="289" t="s">
        <v>1892</v>
      </c>
      <c r="P78" s="292"/>
    </row>
    <row r="79" spans="1:16" hidden="1" x14ac:dyDescent="0.25">
      <c r="A79" s="287" t="s">
        <v>1893</v>
      </c>
      <c r="B79" s="311" t="s">
        <v>1894</v>
      </c>
      <c r="C79" s="305"/>
      <c r="D79" s="288" t="s">
        <v>1895</v>
      </c>
      <c r="E79" s="288" t="s">
        <v>1741</v>
      </c>
      <c r="F79" s="289"/>
      <c r="G79" s="290">
        <v>45565</v>
      </c>
      <c r="H79" s="291">
        <v>146880</v>
      </c>
      <c r="I79" s="291">
        <v>146880</v>
      </c>
      <c r="J79" s="291">
        <v>-146880</v>
      </c>
      <c r="K79" s="289" t="s">
        <v>1731</v>
      </c>
      <c r="L79" s="288" t="s">
        <v>1732</v>
      </c>
      <c r="M79" s="288" t="s">
        <v>1733</v>
      </c>
      <c r="N79" s="288" t="s">
        <v>1734</v>
      </c>
      <c r="O79" s="289" t="s">
        <v>1791</v>
      </c>
      <c r="P79" s="292"/>
    </row>
    <row r="80" spans="1:16" hidden="1" x14ac:dyDescent="0.25">
      <c r="A80" s="287" t="s">
        <v>1896</v>
      </c>
      <c r="B80" s="311" t="s">
        <v>1897</v>
      </c>
      <c r="C80" s="305"/>
      <c r="D80" s="288" t="s">
        <v>1898</v>
      </c>
      <c r="E80" s="288" t="s">
        <v>1741</v>
      </c>
      <c r="F80" s="289"/>
      <c r="G80" s="290">
        <v>45555</v>
      </c>
      <c r="H80" s="291">
        <v>160905.01999999999</v>
      </c>
      <c r="I80" s="291">
        <v>160905.01999999999</v>
      </c>
      <c r="J80" s="291">
        <v>-160905.01999999999</v>
      </c>
      <c r="K80" s="289" t="s">
        <v>1731</v>
      </c>
      <c r="L80" s="288" t="s">
        <v>1732</v>
      </c>
      <c r="M80" s="288" t="s">
        <v>1733</v>
      </c>
      <c r="N80" s="288" t="s">
        <v>1734</v>
      </c>
      <c r="O80" s="289" t="s">
        <v>1791</v>
      </c>
      <c r="P80" s="292"/>
    </row>
    <row r="81" spans="1:16" hidden="1" x14ac:dyDescent="0.25">
      <c r="A81" s="287" t="s">
        <v>1899</v>
      </c>
      <c r="B81" s="311" t="s">
        <v>1900</v>
      </c>
      <c r="C81" s="305"/>
      <c r="D81" s="288" t="s">
        <v>1901</v>
      </c>
      <c r="E81" s="288" t="s">
        <v>1741</v>
      </c>
      <c r="F81" s="289"/>
      <c r="G81" s="290">
        <v>45513</v>
      </c>
      <c r="H81" s="291">
        <v>246875</v>
      </c>
      <c r="I81" s="291">
        <v>246875</v>
      </c>
      <c r="J81" s="291">
        <v>-246875</v>
      </c>
      <c r="K81" s="289" t="s">
        <v>1731</v>
      </c>
      <c r="L81" s="288" t="s">
        <v>1732</v>
      </c>
      <c r="M81" s="288" t="s">
        <v>1733</v>
      </c>
      <c r="N81" s="288" t="s">
        <v>1734</v>
      </c>
      <c r="O81" s="289" t="s">
        <v>1791</v>
      </c>
      <c r="P81" s="292"/>
    </row>
    <row r="82" spans="1:16" hidden="1" x14ac:dyDescent="0.25">
      <c r="A82" s="287" t="s">
        <v>1902</v>
      </c>
      <c r="B82" s="311" t="s">
        <v>1903</v>
      </c>
      <c r="C82" s="305"/>
      <c r="D82" s="288" t="s">
        <v>1904</v>
      </c>
      <c r="E82" s="288" t="s">
        <v>1741</v>
      </c>
      <c r="F82" s="289"/>
      <c r="G82" s="290">
        <v>45481</v>
      </c>
      <c r="H82" s="291">
        <v>221859</v>
      </c>
      <c r="I82" s="291">
        <v>221859</v>
      </c>
      <c r="J82" s="291">
        <v>-221859</v>
      </c>
      <c r="K82" s="289" t="s">
        <v>1731</v>
      </c>
      <c r="L82" s="288" t="s">
        <v>1773</v>
      </c>
      <c r="M82" s="288" t="s">
        <v>1774</v>
      </c>
      <c r="N82" s="288" t="s">
        <v>1734</v>
      </c>
      <c r="O82" s="289" t="s">
        <v>1791</v>
      </c>
      <c r="P82" s="292"/>
    </row>
    <row r="83" spans="1:16" hidden="1" x14ac:dyDescent="0.25">
      <c r="A83" s="287" t="s">
        <v>1905</v>
      </c>
      <c r="B83" s="311" t="s">
        <v>1906</v>
      </c>
      <c r="C83" s="305"/>
      <c r="D83" s="288" t="s">
        <v>1907</v>
      </c>
      <c r="E83" s="288" t="s">
        <v>1741</v>
      </c>
      <c r="F83" s="289"/>
      <c r="G83" s="290">
        <v>45456</v>
      </c>
      <c r="H83" s="291">
        <v>3048</v>
      </c>
      <c r="I83" s="291">
        <v>3048</v>
      </c>
      <c r="J83" s="291">
        <v>0</v>
      </c>
      <c r="K83" s="289" t="s">
        <v>1731</v>
      </c>
      <c r="L83" s="288" t="s">
        <v>1773</v>
      </c>
      <c r="M83" s="288" t="s">
        <v>1774</v>
      </c>
      <c r="N83" s="288" t="s">
        <v>1734</v>
      </c>
      <c r="O83" s="289" t="s">
        <v>1791</v>
      </c>
      <c r="P83" s="292"/>
    </row>
    <row r="84" spans="1:16" hidden="1" x14ac:dyDescent="0.25">
      <c r="A84" s="287" t="s">
        <v>1908</v>
      </c>
      <c r="B84" s="311" t="s">
        <v>1909</v>
      </c>
      <c r="C84" s="305"/>
      <c r="D84" s="288" t="s">
        <v>1910</v>
      </c>
      <c r="E84" s="288" t="s">
        <v>1741</v>
      </c>
      <c r="F84" s="289"/>
      <c r="G84" s="290">
        <v>45594</v>
      </c>
      <c r="H84" s="291">
        <v>994082</v>
      </c>
      <c r="I84" s="291">
        <v>994082</v>
      </c>
      <c r="J84" s="291">
        <v>-994082</v>
      </c>
      <c r="K84" s="289" t="s">
        <v>1731</v>
      </c>
      <c r="L84" s="288" t="s">
        <v>1773</v>
      </c>
      <c r="M84" s="288" t="s">
        <v>1774</v>
      </c>
      <c r="N84" s="288" t="s">
        <v>1734</v>
      </c>
      <c r="O84" s="289" t="s">
        <v>1791</v>
      </c>
      <c r="P84" s="292"/>
    </row>
    <row r="85" spans="1:16" hidden="1" x14ac:dyDescent="0.25">
      <c r="A85" s="287" t="s">
        <v>1911</v>
      </c>
      <c r="B85" s="311" t="s">
        <v>1912</v>
      </c>
      <c r="C85" s="305"/>
      <c r="D85" s="288" t="s">
        <v>1913</v>
      </c>
      <c r="E85" s="288" t="s">
        <v>1741</v>
      </c>
      <c r="F85" s="289">
        <v>8701712677</v>
      </c>
      <c r="G85" s="290">
        <v>46016</v>
      </c>
      <c r="H85" s="291">
        <v>62400</v>
      </c>
      <c r="I85" s="291">
        <v>62400</v>
      </c>
      <c r="J85" s="291">
        <v>0</v>
      </c>
      <c r="K85" s="289" t="s">
        <v>1731</v>
      </c>
      <c r="L85" s="288" t="s">
        <v>1773</v>
      </c>
      <c r="M85" s="288" t="s">
        <v>1774</v>
      </c>
      <c r="N85" s="288" t="s">
        <v>1734</v>
      </c>
      <c r="O85" s="289" t="s">
        <v>1914</v>
      </c>
      <c r="P85" s="292"/>
    </row>
    <row r="86" spans="1:16" hidden="1" x14ac:dyDescent="0.25">
      <c r="A86" s="287" t="s">
        <v>1915</v>
      </c>
      <c r="B86" s="311" t="s">
        <v>1916</v>
      </c>
      <c r="C86" s="305"/>
      <c r="D86" s="288" t="s">
        <v>1917</v>
      </c>
      <c r="E86" s="288"/>
      <c r="F86" s="289">
        <v>8701769366</v>
      </c>
      <c r="G86" s="290">
        <v>46072</v>
      </c>
      <c r="H86" s="291">
        <v>98832</v>
      </c>
      <c r="I86" s="291">
        <v>0</v>
      </c>
      <c r="J86" s="291">
        <v>0</v>
      </c>
      <c r="K86" s="289" t="s">
        <v>1731</v>
      </c>
      <c r="L86" s="288" t="s">
        <v>1732</v>
      </c>
      <c r="M86" s="288" t="s">
        <v>1733</v>
      </c>
      <c r="N86" s="288" t="s">
        <v>1734</v>
      </c>
      <c r="O86" s="289" t="s">
        <v>1918</v>
      </c>
      <c r="P86" s="292"/>
    </row>
    <row r="87" spans="1:16" hidden="1" x14ac:dyDescent="0.25">
      <c r="A87" s="287" t="s">
        <v>1919</v>
      </c>
      <c r="B87" s="311" t="s">
        <v>1920</v>
      </c>
      <c r="C87" s="305"/>
      <c r="D87" s="288" t="s">
        <v>1921</v>
      </c>
      <c r="E87" s="288" t="s">
        <v>1922</v>
      </c>
      <c r="F87" s="289">
        <v>8000398023</v>
      </c>
      <c r="G87" s="290">
        <v>46062</v>
      </c>
      <c r="H87" s="291">
        <v>10000000</v>
      </c>
      <c r="I87" s="291">
        <v>10000000</v>
      </c>
      <c r="J87" s="291">
        <v>0</v>
      </c>
      <c r="K87" s="289" t="s">
        <v>1731</v>
      </c>
      <c r="L87" s="288" t="s">
        <v>1828</v>
      </c>
      <c r="M87" s="288" t="s">
        <v>1829</v>
      </c>
      <c r="N87" s="288" t="s">
        <v>1830</v>
      </c>
      <c r="O87" s="289" t="s">
        <v>1923</v>
      </c>
      <c r="P87" s="292"/>
    </row>
    <row r="88" spans="1:16" hidden="1" x14ac:dyDescent="0.25">
      <c r="A88" s="287" t="s">
        <v>1919</v>
      </c>
      <c r="B88" s="311" t="s">
        <v>1920</v>
      </c>
      <c r="C88" s="305"/>
      <c r="D88" s="288" t="s">
        <v>1921</v>
      </c>
      <c r="E88" s="288" t="s">
        <v>1924</v>
      </c>
      <c r="F88" s="289">
        <v>8000737425</v>
      </c>
      <c r="G88" s="290">
        <v>45862</v>
      </c>
      <c r="H88" s="291">
        <v>254580000</v>
      </c>
      <c r="I88" s="291">
        <v>0</v>
      </c>
      <c r="J88" s="291">
        <v>0</v>
      </c>
      <c r="K88" s="289" t="s">
        <v>1731</v>
      </c>
      <c r="L88" s="288" t="s">
        <v>1732</v>
      </c>
      <c r="M88" s="288" t="s">
        <v>1733</v>
      </c>
      <c r="N88" s="288" t="s">
        <v>1734</v>
      </c>
      <c r="O88" s="289" t="s">
        <v>1925</v>
      </c>
      <c r="P88" s="292"/>
    </row>
    <row r="89" spans="1:16" hidden="1" x14ac:dyDescent="0.25">
      <c r="A89" s="287" t="s">
        <v>1926</v>
      </c>
      <c r="B89" s="311" t="s">
        <v>1927</v>
      </c>
      <c r="C89" s="305"/>
      <c r="D89" s="288" t="s">
        <v>1928</v>
      </c>
      <c r="E89" s="288"/>
      <c r="F89" s="289">
        <v>8701366243</v>
      </c>
      <c r="G89" s="290">
        <v>45631</v>
      </c>
      <c r="H89" s="291">
        <v>0.02</v>
      </c>
      <c r="I89" s="291">
        <v>0.02</v>
      </c>
      <c r="J89" s="291">
        <v>-0.02</v>
      </c>
      <c r="K89" s="289" t="s">
        <v>1731</v>
      </c>
      <c r="L89" s="288" t="s">
        <v>1773</v>
      </c>
      <c r="M89" s="288" t="s">
        <v>1774</v>
      </c>
      <c r="N89" s="288" t="s">
        <v>1734</v>
      </c>
      <c r="O89" s="289" t="s">
        <v>1929</v>
      </c>
      <c r="P89" s="292"/>
    </row>
    <row r="90" spans="1:16" hidden="1" x14ac:dyDescent="0.25">
      <c r="A90" s="287" t="s">
        <v>1930</v>
      </c>
      <c r="B90" s="311" t="s">
        <v>1931</v>
      </c>
      <c r="C90" s="305"/>
      <c r="D90" s="288" t="s">
        <v>1932</v>
      </c>
      <c r="E90" s="288"/>
      <c r="F90" s="289">
        <v>8701680752</v>
      </c>
      <c r="G90" s="290">
        <v>45974</v>
      </c>
      <c r="H90" s="291">
        <v>0.02</v>
      </c>
      <c r="I90" s="291">
        <v>0.02</v>
      </c>
      <c r="J90" s="291">
        <v>0</v>
      </c>
      <c r="K90" s="289" t="s">
        <v>1731</v>
      </c>
      <c r="L90" s="288" t="s">
        <v>1839</v>
      </c>
      <c r="M90" s="288" t="s">
        <v>1840</v>
      </c>
      <c r="N90" s="288" t="s">
        <v>1841</v>
      </c>
      <c r="O90" s="289" t="s">
        <v>1933</v>
      </c>
      <c r="P90" s="292"/>
    </row>
    <row r="91" spans="1:16" hidden="1" x14ac:dyDescent="0.25">
      <c r="A91" s="287" t="s">
        <v>1930</v>
      </c>
      <c r="B91" s="311" t="s">
        <v>1931</v>
      </c>
      <c r="C91" s="305"/>
      <c r="D91" s="288" t="s">
        <v>1932</v>
      </c>
      <c r="E91" s="288"/>
      <c r="F91" s="289">
        <v>8701586989</v>
      </c>
      <c r="G91" s="290">
        <v>45856</v>
      </c>
      <c r="H91" s="291">
        <v>0.1</v>
      </c>
      <c r="I91" s="291">
        <v>0.1</v>
      </c>
      <c r="J91" s="291">
        <v>-0.1</v>
      </c>
      <c r="K91" s="289" t="s">
        <v>1731</v>
      </c>
      <c r="L91" s="288" t="s">
        <v>1732</v>
      </c>
      <c r="M91" s="288" t="s">
        <v>1733</v>
      </c>
      <c r="N91" s="288" t="s">
        <v>1734</v>
      </c>
      <c r="O91" s="289" t="s">
        <v>1934</v>
      </c>
      <c r="P91" s="292"/>
    </row>
    <row r="92" spans="1:16" hidden="1" x14ac:dyDescent="0.25">
      <c r="A92" s="287" t="s">
        <v>1930</v>
      </c>
      <c r="B92" s="311" t="s">
        <v>1931</v>
      </c>
      <c r="C92" s="305"/>
      <c r="D92" s="288" t="s">
        <v>1932</v>
      </c>
      <c r="E92" s="288"/>
      <c r="F92" s="289">
        <v>8701707365</v>
      </c>
      <c r="G92" s="290">
        <v>45995</v>
      </c>
      <c r="H92" s="291">
        <v>1758</v>
      </c>
      <c r="I92" s="291">
        <v>1758</v>
      </c>
      <c r="J92" s="291">
        <v>0</v>
      </c>
      <c r="K92" s="289" t="s">
        <v>1731</v>
      </c>
      <c r="L92" s="288" t="s">
        <v>1732</v>
      </c>
      <c r="M92" s="288" t="s">
        <v>1733</v>
      </c>
      <c r="N92" s="288" t="s">
        <v>1734</v>
      </c>
      <c r="O92" s="289" t="s">
        <v>1934</v>
      </c>
      <c r="P92" s="292"/>
    </row>
    <row r="93" spans="1:16" hidden="1" x14ac:dyDescent="0.25">
      <c r="A93" s="287" t="s">
        <v>1930</v>
      </c>
      <c r="B93" s="311" t="s">
        <v>1931</v>
      </c>
      <c r="C93" s="305"/>
      <c r="D93" s="288" t="s">
        <v>1932</v>
      </c>
      <c r="E93" s="288"/>
      <c r="F93" s="289"/>
      <c r="G93" s="290">
        <v>45635</v>
      </c>
      <c r="H93" s="291">
        <v>326159.34000000003</v>
      </c>
      <c r="I93" s="291">
        <v>326159.34000000003</v>
      </c>
      <c r="J93" s="291">
        <v>-253337.36</v>
      </c>
      <c r="K93" s="289" t="s">
        <v>1731</v>
      </c>
      <c r="L93" s="288" t="s">
        <v>1732</v>
      </c>
      <c r="M93" s="288" t="s">
        <v>1733</v>
      </c>
      <c r="N93" s="288" t="s">
        <v>1734</v>
      </c>
      <c r="O93" s="289" t="s">
        <v>1791</v>
      </c>
      <c r="P93" s="292"/>
    </row>
    <row r="94" spans="1:16" hidden="1" x14ac:dyDescent="0.25">
      <c r="A94" s="287" t="s">
        <v>1930</v>
      </c>
      <c r="B94" s="311" t="s">
        <v>1931</v>
      </c>
      <c r="C94" s="305"/>
      <c r="D94" s="288" t="s">
        <v>1932</v>
      </c>
      <c r="E94" s="288" t="s">
        <v>1935</v>
      </c>
      <c r="F94" s="289"/>
      <c r="G94" s="290">
        <v>45538</v>
      </c>
      <c r="H94" s="291">
        <v>504</v>
      </c>
      <c r="I94" s="291">
        <v>504</v>
      </c>
      <c r="J94" s="291">
        <v>0</v>
      </c>
      <c r="K94" s="289" t="s">
        <v>1731</v>
      </c>
      <c r="L94" s="288" t="s">
        <v>1732</v>
      </c>
      <c r="M94" s="288" t="s">
        <v>1733</v>
      </c>
      <c r="N94" s="288" t="s">
        <v>1734</v>
      </c>
      <c r="O94" s="289" t="s">
        <v>1791</v>
      </c>
      <c r="P94" s="292"/>
    </row>
    <row r="95" spans="1:16" hidden="1" x14ac:dyDescent="0.25">
      <c r="A95" s="287" t="s">
        <v>1930</v>
      </c>
      <c r="B95" s="311" t="s">
        <v>1931</v>
      </c>
      <c r="C95" s="305"/>
      <c r="D95" s="288" t="s">
        <v>1932</v>
      </c>
      <c r="E95" s="288" t="s">
        <v>1741</v>
      </c>
      <c r="F95" s="289"/>
      <c r="G95" s="290">
        <v>45589</v>
      </c>
      <c r="H95" s="291">
        <v>359</v>
      </c>
      <c r="I95" s="291">
        <v>359</v>
      </c>
      <c r="J95" s="291">
        <v>0</v>
      </c>
      <c r="K95" s="289" t="s">
        <v>1731</v>
      </c>
      <c r="L95" s="288" t="s">
        <v>1732</v>
      </c>
      <c r="M95" s="288" t="s">
        <v>1733</v>
      </c>
      <c r="N95" s="288" t="s">
        <v>1734</v>
      </c>
      <c r="O95" s="289" t="s">
        <v>1791</v>
      </c>
      <c r="P95" s="292"/>
    </row>
    <row r="96" spans="1:16" hidden="1" x14ac:dyDescent="0.25">
      <c r="A96" s="287" t="s">
        <v>1936</v>
      </c>
      <c r="B96" s="311" t="s">
        <v>1937</v>
      </c>
      <c r="C96" s="305"/>
      <c r="D96" s="288" t="s">
        <v>1938</v>
      </c>
      <c r="E96" s="288" t="s">
        <v>1939</v>
      </c>
      <c r="F96" s="289">
        <v>4000240961</v>
      </c>
      <c r="G96" s="290">
        <v>46016</v>
      </c>
      <c r="H96" s="291">
        <v>249865.5</v>
      </c>
      <c r="I96" s="291">
        <v>249865.5</v>
      </c>
      <c r="J96" s="291">
        <v>0</v>
      </c>
      <c r="K96" s="289" t="s">
        <v>1731</v>
      </c>
      <c r="L96" s="288" t="s">
        <v>1754</v>
      </c>
      <c r="M96" s="288" t="s">
        <v>1755</v>
      </c>
      <c r="N96" s="288" t="s">
        <v>1751</v>
      </c>
      <c r="O96" s="289" t="s">
        <v>1940</v>
      </c>
      <c r="P96" s="292"/>
    </row>
    <row r="97" spans="1:16" hidden="1" x14ac:dyDescent="0.25">
      <c r="A97" s="287" t="s">
        <v>1941</v>
      </c>
      <c r="B97" s="311" t="s">
        <v>1942</v>
      </c>
      <c r="C97" s="305"/>
      <c r="D97" s="288" t="s">
        <v>1943</v>
      </c>
      <c r="E97" s="288"/>
      <c r="F97" s="289"/>
      <c r="G97" s="290">
        <v>45754</v>
      </c>
      <c r="H97" s="291">
        <v>10044.24</v>
      </c>
      <c r="I97" s="291">
        <v>10044.24</v>
      </c>
      <c r="J97" s="291">
        <v>0</v>
      </c>
      <c r="K97" s="289" t="s">
        <v>1731</v>
      </c>
      <c r="L97" s="288" t="s">
        <v>1944</v>
      </c>
      <c r="M97" s="288" t="s">
        <v>1945</v>
      </c>
      <c r="N97" s="288" t="s">
        <v>1830</v>
      </c>
      <c r="O97" s="289" t="s">
        <v>1791</v>
      </c>
      <c r="P97" s="292"/>
    </row>
    <row r="98" spans="1:16" hidden="1" x14ac:dyDescent="0.25">
      <c r="A98" s="287" t="s">
        <v>1946</v>
      </c>
      <c r="B98" s="311" t="s">
        <v>1947</v>
      </c>
      <c r="C98" s="305"/>
      <c r="D98" s="288" t="s">
        <v>1948</v>
      </c>
      <c r="E98" s="288" t="s">
        <v>1741</v>
      </c>
      <c r="F98" s="289">
        <v>8701762098</v>
      </c>
      <c r="G98" s="290">
        <v>46065</v>
      </c>
      <c r="H98" s="291">
        <v>22575</v>
      </c>
      <c r="I98" s="291">
        <v>22575</v>
      </c>
      <c r="J98" s="291">
        <v>0</v>
      </c>
      <c r="K98" s="289" t="s">
        <v>1731</v>
      </c>
      <c r="L98" s="288" t="s">
        <v>1773</v>
      </c>
      <c r="M98" s="288" t="s">
        <v>1774</v>
      </c>
      <c r="N98" s="288" t="s">
        <v>1734</v>
      </c>
      <c r="O98" s="289" t="s">
        <v>1914</v>
      </c>
      <c r="P98" s="292"/>
    </row>
    <row r="99" spans="1:16" hidden="1" x14ac:dyDescent="0.25">
      <c r="A99" s="287" t="s">
        <v>1949</v>
      </c>
      <c r="B99" s="311" t="s">
        <v>1950</v>
      </c>
      <c r="C99" s="305"/>
      <c r="D99" s="288" t="s">
        <v>1951</v>
      </c>
      <c r="E99" s="288" t="s">
        <v>1952</v>
      </c>
      <c r="F99" s="289">
        <v>8000316747</v>
      </c>
      <c r="G99" s="290">
        <v>45517</v>
      </c>
      <c r="H99" s="291">
        <v>118727.37</v>
      </c>
      <c r="I99" s="291">
        <v>118727.37</v>
      </c>
      <c r="J99" s="291">
        <v>-118727.37</v>
      </c>
      <c r="K99" s="289" t="s">
        <v>1731</v>
      </c>
      <c r="L99" s="288" t="s">
        <v>1828</v>
      </c>
      <c r="M99" s="288" t="s">
        <v>1829</v>
      </c>
      <c r="N99" s="288" t="s">
        <v>1830</v>
      </c>
      <c r="O99" s="289" t="s">
        <v>1953</v>
      </c>
      <c r="P99" s="292"/>
    </row>
    <row r="100" spans="1:16" hidden="1" x14ac:dyDescent="0.25">
      <c r="A100" s="287" t="s">
        <v>1949</v>
      </c>
      <c r="B100" s="311" t="s">
        <v>1950</v>
      </c>
      <c r="C100" s="305"/>
      <c r="D100" s="288" t="s">
        <v>1951</v>
      </c>
      <c r="E100" s="288" t="s">
        <v>1954</v>
      </c>
      <c r="F100" s="289">
        <v>8000360669</v>
      </c>
      <c r="G100" s="290">
        <v>45478</v>
      </c>
      <c r="H100" s="291">
        <v>210558.18</v>
      </c>
      <c r="I100" s="291">
        <v>210558.18</v>
      </c>
      <c r="J100" s="291">
        <v>-210558.18</v>
      </c>
      <c r="K100" s="289" t="s">
        <v>1731</v>
      </c>
      <c r="L100" s="288" t="s">
        <v>1828</v>
      </c>
      <c r="M100" s="288" t="s">
        <v>1829</v>
      </c>
      <c r="N100" s="288" t="s">
        <v>1830</v>
      </c>
      <c r="O100" s="289" t="s">
        <v>1955</v>
      </c>
      <c r="P100" s="292"/>
    </row>
    <row r="101" spans="1:16" hidden="1" x14ac:dyDescent="0.25">
      <c r="A101" s="287" t="s">
        <v>1949</v>
      </c>
      <c r="B101" s="311" t="s">
        <v>1950</v>
      </c>
      <c r="C101" s="305"/>
      <c r="D101" s="288" t="s">
        <v>1951</v>
      </c>
      <c r="E101" s="288" t="s">
        <v>1956</v>
      </c>
      <c r="F101" s="289">
        <v>8000416145</v>
      </c>
      <c r="G101" s="290">
        <v>45509</v>
      </c>
      <c r="H101" s="291">
        <v>258976.06</v>
      </c>
      <c r="I101" s="291">
        <v>258976.06</v>
      </c>
      <c r="J101" s="291">
        <v>-258976.06</v>
      </c>
      <c r="K101" s="289" t="s">
        <v>1731</v>
      </c>
      <c r="L101" s="288" t="s">
        <v>1828</v>
      </c>
      <c r="M101" s="288" t="s">
        <v>1829</v>
      </c>
      <c r="N101" s="288" t="s">
        <v>1830</v>
      </c>
      <c r="O101" s="289" t="s">
        <v>1957</v>
      </c>
      <c r="P101" s="292"/>
    </row>
    <row r="102" spans="1:16" hidden="1" x14ac:dyDescent="0.25">
      <c r="A102" s="287" t="s">
        <v>1949</v>
      </c>
      <c r="B102" s="311" t="s">
        <v>1950</v>
      </c>
      <c r="C102" s="305"/>
      <c r="D102" s="288" t="s">
        <v>1951</v>
      </c>
      <c r="E102" s="288" t="s">
        <v>1958</v>
      </c>
      <c r="F102" s="289">
        <v>8000455937</v>
      </c>
      <c r="G102" s="290">
        <v>44707</v>
      </c>
      <c r="H102" s="291">
        <v>235135.26</v>
      </c>
      <c r="I102" s="291">
        <v>235135.26</v>
      </c>
      <c r="J102" s="291">
        <v>-255135.26</v>
      </c>
      <c r="K102" s="289" t="s">
        <v>1731</v>
      </c>
      <c r="L102" s="288" t="s">
        <v>1773</v>
      </c>
      <c r="M102" s="288" t="s">
        <v>1774</v>
      </c>
      <c r="N102" s="288" t="s">
        <v>1734</v>
      </c>
      <c r="O102" s="289" t="s">
        <v>1955</v>
      </c>
      <c r="P102" s="292"/>
    </row>
    <row r="103" spans="1:16" hidden="1" x14ac:dyDescent="0.25">
      <c r="A103" s="287" t="s">
        <v>1949</v>
      </c>
      <c r="B103" s="311" t="s">
        <v>1950</v>
      </c>
      <c r="C103" s="305"/>
      <c r="D103" s="288" t="s">
        <v>1951</v>
      </c>
      <c r="E103" s="288" t="s">
        <v>1958</v>
      </c>
      <c r="F103" s="289">
        <v>8000455937</v>
      </c>
      <c r="G103" s="290">
        <v>45109</v>
      </c>
      <c r="H103" s="291">
        <v>20000</v>
      </c>
      <c r="I103" s="291">
        <v>20000</v>
      </c>
      <c r="J103" s="291">
        <v>-255135.26</v>
      </c>
      <c r="K103" s="289" t="s">
        <v>1731</v>
      </c>
      <c r="L103" s="288" t="s">
        <v>1828</v>
      </c>
      <c r="M103" s="288" t="s">
        <v>1829</v>
      </c>
      <c r="N103" s="288" t="s">
        <v>1830</v>
      </c>
      <c r="O103" s="289" t="s">
        <v>1955</v>
      </c>
      <c r="P103" s="292"/>
    </row>
    <row r="104" spans="1:16" hidden="1" x14ac:dyDescent="0.25">
      <c r="A104" s="287" t="s">
        <v>1949</v>
      </c>
      <c r="B104" s="311" t="s">
        <v>1950</v>
      </c>
      <c r="C104" s="305"/>
      <c r="D104" s="288" t="s">
        <v>1951</v>
      </c>
      <c r="E104" s="288" t="s">
        <v>1959</v>
      </c>
      <c r="F104" s="289">
        <v>8000459000</v>
      </c>
      <c r="G104" s="290">
        <v>45598</v>
      </c>
      <c r="H104" s="291">
        <v>487108.4</v>
      </c>
      <c r="I104" s="291">
        <v>487108.4</v>
      </c>
      <c r="J104" s="291">
        <v>-487108.4</v>
      </c>
      <c r="K104" s="289" t="s">
        <v>1731</v>
      </c>
      <c r="L104" s="288" t="s">
        <v>1828</v>
      </c>
      <c r="M104" s="288" t="s">
        <v>1829</v>
      </c>
      <c r="N104" s="288" t="s">
        <v>1830</v>
      </c>
      <c r="O104" s="289" t="s">
        <v>1955</v>
      </c>
      <c r="P104" s="292"/>
    </row>
    <row r="105" spans="1:16" hidden="1" x14ac:dyDescent="0.25">
      <c r="A105" s="287" t="s">
        <v>1960</v>
      </c>
      <c r="B105" s="311" t="s">
        <v>1961</v>
      </c>
      <c r="C105" s="305"/>
      <c r="D105" s="288" t="s">
        <v>1962</v>
      </c>
      <c r="E105" s="288" t="s">
        <v>1963</v>
      </c>
      <c r="F105" s="289">
        <v>8000725953</v>
      </c>
      <c r="G105" s="290">
        <v>45541</v>
      </c>
      <c r="H105" s="291">
        <v>16877.599999999999</v>
      </c>
      <c r="I105" s="291">
        <v>16877.599999999999</v>
      </c>
      <c r="J105" s="291">
        <v>-16877.599999999999</v>
      </c>
      <c r="K105" s="289" t="s">
        <v>1731</v>
      </c>
      <c r="L105" s="288" t="s">
        <v>1732</v>
      </c>
      <c r="M105" s="288" t="s">
        <v>1733</v>
      </c>
      <c r="N105" s="288" t="s">
        <v>1734</v>
      </c>
      <c r="O105" s="289" t="s">
        <v>1964</v>
      </c>
      <c r="P105" s="292"/>
    </row>
    <row r="106" spans="1:16" hidden="1" x14ac:dyDescent="0.25">
      <c r="A106" s="287" t="s">
        <v>1965</v>
      </c>
      <c r="B106" s="311" t="s">
        <v>1966</v>
      </c>
      <c r="C106" s="305"/>
      <c r="D106" s="288" t="s">
        <v>1967</v>
      </c>
      <c r="E106" s="288" t="s">
        <v>1741</v>
      </c>
      <c r="F106" s="289"/>
      <c r="G106" s="290">
        <v>45460</v>
      </c>
      <c r="H106" s="291">
        <v>14950</v>
      </c>
      <c r="I106" s="291">
        <v>14950</v>
      </c>
      <c r="J106" s="291">
        <v>0</v>
      </c>
      <c r="K106" s="289" t="s">
        <v>1731</v>
      </c>
      <c r="L106" s="288" t="s">
        <v>1773</v>
      </c>
      <c r="M106" s="288" t="s">
        <v>1774</v>
      </c>
      <c r="N106" s="288" t="s">
        <v>1734</v>
      </c>
      <c r="O106" s="289" t="s">
        <v>1791</v>
      </c>
      <c r="P106" s="292"/>
    </row>
    <row r="107" spans="1:16" hidden="1" x14ac:dyDescent="0.25">
      <c r="A107" s="287" t="s">
        <v>1968</v>
      </c>
      <c r="B107" s="311" t="s">
        <v>1969</v>
      </c>
      <c r="C107" s="305"/>
      <c r="D107" s="288" t="s">
        <v>1970</v>
      </c>
      <c r="E107" s="288" t="s">
        <v>1971</v>
      </c>
      <c r="F107" s="289">
        <v>8000432184</v>
      </c>
      <c r="G107" s="290">
        <v>46079</v>
      </c>
      <c r="H107" s="291">
        <v>178310</v>
      </c>
      <c r="I107" s="291">
        <v>178310</v>
      </c>
      <c r="J107" s="291">
        <v>0</v>
      </c>
      <c r="K107" s="289" t="s">
        <v>1731</v>
      </c>
      <c r="L107" s="288" t="s">
        <v>1773</v>
      </c>
      <c r="M107" s="288" t="s">
        <v>1774</v>
      </c>
      <c r="N107" s="288" t="s">
        <v>1734</v>
      </c>
      <c r="O107" s="289" t="s">
        <v>1972</v>
      </c>
      <c r="P107" s="292"/>
    </row>
    <row r="108" spans="1:16" hidden="1" x14ac:dyDescent="0.25">
      <c r="A108" s="287" t="s">
        <v>1973</v>
      </c>
      <c r="B108" s="311" t="s">
        <v>1974</v>
      </c>
      <c r="C108" s="305"/>
      <c r="D108" s="288" t="s">
        <v>1975</v>
      </c>
      <c r="E108" s="288"/>
      <c r="F108" s="289">
        <v>8701626576</v>
      </c>
      <c r="G108" s="290">
        <v>45911</v>
      </c>
      <c r="H108" s="291">
        <v>8340</v>
      </c>
      <c r="I108" s="291">
        <v>8340</v>
      </c>
      <c r="J108" s="291">
        <v>0</v>
      </c>
      <c r="K108" s="289" t="s">
        <v>1731</v>
      </c>
      <c r="L108" s="288" t="s">
        <v>1773</v>
      </c>
      <c r="M108" s="288" t="s">
        <v>1774</v>
      </c>
      <c r="N108" s="288" t="s">
        <v>1734</v>
      </c>
      <c r="O108" s="289" t="s">
        <v>1976</v>
      </c>
      <c r="P108" s="292"/>
    </row>
    <row r="109" spans="1:16" hidden="1" x14ac:dyDescent="0.25">
      <c r="A109" s="287" t="s">
        <v>1977</v>
      </c>
      <c r="B109" s="311" t="s">
        <v>1978</v>
      </c>
      <c r="C109" s="305"/>
      <c r="D109" s="288" t="s">
        <v>1979</v>
      </c>
      <c r="E109" s="288" t="s">
        <v>1980</v>
      </c>
      <c r="F109" s="289">
        <v>8000391667</v>
      </c>
      <c r="G109" s="290">
        <v>44893</v>
      </c>
      <c r="H109" s="291">
        <v>3900000</v>
      </c>
      <c r="I109" s="291">
        <v>3900000</v>
      </c>
      <c r="J109" s="291">
        <v>0</v>
      </c>
      <c r="K109" s="289" t="s">
        <v>1731</v>
      </c>
      <c r="L109" s="288" t="s">
        <v>1732</v>
      </c>
      <c r="M109" s="288" t="s">
        <v>1733</v>
      </c>
      <c r="N109" s="288" t="s">
        <v>1734</v>
      </c>
      <c r="O109" s="289" t="s">
        <v>1925</v>
      </c>
      <c r="P109" s="292"/>
    </row>
    <row r="110" spans="1:16" hidden="1" x14ac:dyDescent="0.25">
      <c r="A110" s="287" t="s">
        <v>1977</v>
      </c>
      <c r="B110" s="311" t="s">
        <v>1978</v>
      </c>
      <c r="C110" s="305"/>
      <c r="D110" s="288" t="s">
        <v>1979</v>
      </c>
      <c r="E110" s="288" t="s">
        <v>1981</v>
      </c>
      <c r="F110" s="289">
        <v>8000425502</v>
      </c>
      <c r="G110" s="290">
        <v>46048</v>
      </c>
      <c r="H110" s="291">
        <v>427316071.07999998</v>
      </c>
      <c r="I110" s="291">
        <v>7333363.0800000001</v>
      </c>
      <c r="J110" s="291">
        <v>0</v>
      </c>
      <c r="K110" s="289" t="s">
        <v>1731</v>
      </c>
      <c r="L110" s="288" t="s">
        <v>1732</v>
      </c>
      <c r="M110" s="288" t="s">
        <v>1733</v>
      </c>
      <c r="N110" s="288" t="s">
        <v>1734</v>
      </c>
      <c r="O110" s="289" t="s">
        <v>1925</v>
      </c>
      <c r="P110" s="292"/>
    </row>
    <row r="111" spans="1:16" s="299" customFormat="1" hidden="1" x14ac:dyDescent="0.25">
      <c r="A111" s="293" t="s">
        <v>1982</v>
      </c>
      <c r="B111" s="312" t="s">
        <v>19</v>
      </c>
      <c r="C111" s="306" t="s">
        <v>1983</v>
      </c>
      <c r="D111" s="294" t="s">
        <v>1984</v>
      </c>
      <c r="E111" s="294" t="s">
        <v>1985</v>
      </c>
      <c r="F111" s="295">
        <v>8000753669</v>
      </c>
      <c r="G111" s="296">
        <v>46048</v>
      </c>
      <c r="H111" s="297">
        <v>600000</v>
      </c>
      <c r="I111" s="297">
        <v>600000</v>
      </c>
      <c r="J111" s="297">
        <v>0</v>
      </c>
      <c r="K111" s="295" t="s">
        <v>1731</v>
      </c>
      <c r="L111" s="294" t="s">
        <v>1828</v>
      </c>
      <c r="M111" s="294" t="s">
        <v>1829</v>
      </c>
      <c r="N111" s="294" t="s">
        <v>1830</v>
      </c>
      <c r="O111" s="295" t="s">
        <v>1986</v>
      </c>
      <c r="P111" s="298"/>
    </row>
    <row r="112" spans="1:16" hidden="1" x14ac:dyDescent="0.25">
      <c r="A112" s="287" t="s">
        <v>1987</v>
      </c>
      <c r="B112" s="311" t="s">
        <v>1988</v>
      </c>
      <c r="C112" s="305"/>
      <c r="D112" s="288" t="s">
        <v>1989</v>
      </c>
      <c r="E112" s="288" t="s">
        <v>1990</v>
      </c>
      <c r="F112" s="289">
        <v>8000747698</v>
      </c>
      <c r="G112" s="290">
        <v>45859</v>
      </c>
      <c r="H112" s="291">
        <v>3799872</v>
      </c>
      <c r="I112" s="291">
        <v>3799872</v>
      </c>
      <c r="J112" s="291">
        <v>0</v>
      </c>
      <c r="K112" s="289" t="s">
        <v>1731</v>
      </c>
      <c r="L112" s="288" t="s">
        <v>1773</v>
      </c>
      <c r="M112" s="288" t="s">
        <v>1774</v>
      </c>
      <c r="N112" s="288" t="s">
        <v>1734</v>
      </c>
      <c r="O112" s="289" t="s">
        <v>1991</v>
      </c>
      <c r="P112" s="292"/>
    </row>
    <row r="113" spans="1:16" hidden="1" x14ac:dyDescent="0.25">
      <c r="A113" s="287" t="s">
        <v>1987</v>
      </c>
      <c r="B113" s="311" t="s">
        <v>1988</v>
      </c>
      <c r="C113" s="305"/>
      <c r="D113" s="288" t="s">
        <v>1989</v>
      </c>
      <c r="E113" s="288" t="s">
        <v>1992</v>
      </c>
      <c r="F113" s="289">
        <v>8000774043</v>
      </c>
      <c r="G113" s="290">
        <v>45995</v>
      </c>
      <c r="H113" s="291">
        <v>69840000</v>
      </c>
      <c r="I113" s="291">
        <v>0</v>
      </c>
      <c r="J113" s="291">
        <v>0</v>
      </c>
      <c r="K113" s="289" t="s">
        <v>1731</v>
      </c>
      <c r="L113" s="288" t="s">
        <v>1732</v>
      </c>
      <c r="M113" s="288" t="s">
        <v>1733</v>
      </c>
      <c r="N113" s="288" t="s">
        <v>1734</v>
      </c>
      <c r="O113" s="289" t="s">
        <v>1858</v>
      </c>
      <c r="P113" s="292"/>
    </row>
    <row r="114" spans="1:16" hidden="1" x14ac:dyDescent="0.25">
      <c r="A114" s="287" t="s">
        <v>1993</v>
      </c>
      <c r="B114" s="311" t="s">
        <v>1994</v>
      </c>
      <c r="C114" s="305"/>
      <c r="D114" s="288" t="s">
        <v>1995</v>
      </c>
      <c r="E114" s="288" t="s">
        <v>1996</v>
      </c>
      <c r="F114" s="289">
        <v>8000398439</v>
      </c>
      <c r="G114" s="290">
        <v>45118</v>
      </c>
      <c r="H114" s="291">
        <v>33005796.579999998</v>
      </c>
      <c r="I114" s="291">
        <v>24424289.48</v>
      </c>
      <c r="J114" s="291">
        <v>0</v>
      </c>
      <c r="K114" s="289" t="s">
        <v>1731</v>
      </c>
      <c r="L114" s="288" t="s">
        <v>1732</v>
      </c>
      <c r="M114" s="288" t="s">
        <v>1733</v>
      </c>
      <c r="N114" s="288" t="s">
        <v>1734</v>
      </c>
      <c r="O114" s="289" t="s">
        <v>1997</v>
      </c>
      <c r="P114" s="292"/>
    </row>
    <row r="115" spans="1:16" hidden="1" x14ac:dyDescent="0.25">
      <c r="A115" s="287" t="s">
        <v>1998</v>
      </c>
      <c r="B115" s="311" t="s">
        <v>1999</v>
      </c>
      <c r="C115" s="305"/>
      <c r="D115" s="288" t="s">
        <v>2000</v>
      </c>
      <c r="E115" s="288" t="s">
        <v>2001</v>
      </c>
      <c r="F115" s="289">
        <v>8000510720</v>
      </c>
      <c r="G115" s="290">
        <v>45127</v>
      </c>
      <c r="H115" s="291">
        <v>1223008727.24</v>
      </c>
      <c r="I115" s="291">
        <v>519986327.24000001</v>
      </c>
      <c r="J115" s="291">
        <v>0</v>
      </c>
      <c r="K115" s="289" t="s">
        <v>1731</v>
      </c>
      <c r="L115" s="288" t="s">
        <v>1732</v>
      </c>
      <c r="M115" s="288" t="s">
        <v>1733</v>
      </c>
      <c r="N115" s="288" t="s">
        <v>1734</v>
      </c>
      <c r="O115" s="289" t="s">
        <v>1925</v>
      </c>
      <c r="P115" s="292"/>
    </row>
    <row r="116" spans="1:16" hidden="1" x14ac:dyDescent="0.25">
      <c r="A116" s="287" t="s">
        <v>1998</v>
      </c>
      <c r="B116" s="311" t="s">
        <v>1999</v>
      </c>
      <c r="C116" s="305"/>
      <c r="D116" s="288" t="s">
        <v>2000</v>
      </c>
      <c r="E116" s="288" t="s">
        <v>2002</v>
      </c>
      <c r="F116" s="289">
        <v>8000559830</v>
      </c>
      <c r="G116" s="290">
        <v>45400</v>
      </c>
      <c r="H116" s="291">
        <v>975996000</v>
      </c>
      <c r="I116" s="291">
        <v>0</v>
      </c>
      <c r="J116" s="291">
        <v>0</v>
      </c>
      <c r="K116" s="289" t="s">
        <v>1731</v>
      </c>
      <c r="L116" s="288" t="s">
        <v>1732</v>
      </c>
      <c r="M116" s="288" t="s">
        <v>1733</v>
      </c>
      <c r="N116" s="288" t="s">
        <v>1734</v>
      </c>
      <c r="O116" s="289" t="s">
        <v>1925</v>
      </c>
      <c r="P116" s="292"/>
    </row>
    <row r="117" spans="1:16" hidden="1" x14ac:dyDescent="0.25">
      <c r="A117" s="287" t="s">
        <v>1998</v>
      </c>
      <c r="B117" s="311" t="s">
        <v>1999</v>
      </c>
      <c r="C117" s="305"/>
      <c r="D117" s="288" t="s">
        <v>2000</v>
      </c>
      <c r="E117" s="288" t="s">
        <v>2003</v>
      </c>
      <c r="F117" s="289">
        <v>8000774641</v>
      </c>
      <c r="G117" s="290">
        <v>46058</v>
      </c>
      <c r="H117" s="291">
        <v>2846666.66</v>
      </c>
      <c r="I117" s="291">
        <v>0</v>
      </c>
      <c r="J117" s="291">
        <v>0</v>
      </c>
      <c r="K117" s="289" t="s">
        <v>1731</v>
      </c>
      <c r="L117" s="288" t="s">
        <v>1732</v>
      </c>
      <c r="M117" s="288" t="s">
        <v>1733</v>
      </c>
      <c r="N117" s="288" t="s">
        <v>1734</v>
      </c>
      <c r="O117" s="289" t="s">
        <v>2004</v>
      </c>
      <c r="P117" s="292"/>
    </row>
    <row r="118" spans="1:16" hidden="1" x14ac:dyDescent="0.25">
      <c r="A118" s="287" t="s">
        <v>1998</v>
      </c>
      <c r="B118" s="311" t="s">
        <v>1999</v>
      </c>
      <c r="C118" s="305"/>
      <c r="D118" s="288" t="s">
        <v>2000</v>
      </c>
      <c r="E118" s="288" t="s">
        <v>2005</v>
      </c>
      <c r="F118" s="289">
        <v>8000796741</v>
      </c>
      <c r="G118" s="290">
        <v>46051</v>
      </c>
      <c r="H118" s="291">
        <v>826794000</v>
      </c>
      <c r="I118" s="291">
        <v>0</v>
      </c>
      <c r="J118" s="291">
        <v>0</v>
      </c>
      <c r="K118" s="289" t="s">
        <v>1731</v>
      </c>
      <c r="L118" s="288" t="s">
        <v>1732</v>
      </c>
      <c r="M118" s="288" t="s">
        <v>1733</v>
      </c>
      <c r="N118" s="288" t="s">
        <v>1734</v>
      </c>
      <c r="O118" s="289" t="s">
        <v>1925</v>
      </c>
      <c r="P118" s="292"/>
    </row>
    <row r="119" spans="1:16" hidden="1" x14ac:dyDescent="0.25">
      <c r="A119" s="287" t="s">
        <v>2006</v>
      </c>
      <c r="B119" s="311" t="s">
        <v>2007</v>
      </c>
      <c r="C119" s="305"/>
      <c r="D119" s="288" t="s">
        <v>2008</v>
      </c>
      <c r="E119" s="288" t="s">
        <v>2009</v>
      </c>
      <c r="F119" s="289">
        <v>8000776255</v>
      </c>
      <c r="G119" s="290">
        <v>45967</v>
      </c>
      <c r="H119" s="291">
        <v>591999.98</v>
      </c>
      <c r="I119" s="291">
        <v>591999.98</v>
      </c>
      <c r="J119" s="291">
        <v>0</v>
      </c>
      <c r="K119" s="289" t="s">
        <v>1731</v>
      </c>
      <c r="L119" s="288" t="s">
        <v>1732</v>
      </c>
      <c r="M119" s="288" t="s">
        <v>1733</v>
      </c>
      <c r="N119" s="288" t="s">
        <v>1734</v>
      </c>
      <c r="O119" s="289" t="s">
        <v>2010</v>
      </c>
      <c r="P119" s="292"/>
    </row>
    <row r="120" spans="1:16" hidden="1" x14ac:dyDescent="0.25">
      <c r="A120" s="287" t="s">
        <v>2011</v>
      </c>
      <c r="B120" s="311" t="s">
        <v>2012</v>
      </c>
      <c r="C120" s="305"/>
      <c r="D120" s="288" t="s">
        <v>2013</v>
      </c>
      <c r="E120" s="288" t="s">
        <v>2014</v>
      </c>
      <c r="F120" s="289">
        <v>8000752528</v>
      </c>
      <c r="G120" s="290">
        <v>45897</v>
      </c>
      <c r="H120" s="291">
        <v>49423</v>
      </c>
      <c r="I120" s="291">
        <v>49423</v>
      </c>
      <c r="J120" s="291">
        <v>0</v>
      </c>
      <c r="K120" s="289" t="s">
        <v>1731</v>
      </c>
      <c r="L120" s="288" t="s">
        <v>1773</v>
      </c>
      <c r="M120" s="288" t="s">
        <v>1774</v>
      </c>
      <c r="N120" s="288" t="s">
        <v>1734</v>
      </c>
      <c r="O120" s="289" t="s">
        <v>2015</v>
      </c>
      <c r="P120" s="292"/>
    </row>
    <row r="121" spans="1:16" hidden="1" x14ac:dyDescent="0.25">
      <c r="A121" s="287" t="s">
        <v>2016</v>
      </c>
      <c r="B121" s="311" t="s">
        <v>194</v>
      </c>
      <c r="C121" s="305"/>
      <c r="D121" s="288" t="s">
        <v>2017</v>
      </c>
      <c r="E121" s="288" t="s">
        <v>2018</v>
      </c>
      <c r="F121" s="289">
        <v>4000218873</v>
      </c>
      <c r="G121" s="290">
        <v>45689</v>
      </c>
      <c r="H121" s="291">
        <v>170790.95</v>
      </c>
      <c r="I121" s="291">
        <v>170790.95</v>
      </c>
      <c r="J121" s="291">
        <v>0</v>
      </c>
      <c r="K121" s="289" t="s">
        <v>1731</v>
      </c>
      <c r="L121" s="288" t="s">
        <v>1754</v>
      </c>
      <c r="M121" s="288" t="s">
        <v>1755</v>
      </c>
      <c r="N121" s="288" t="s">
        <v>1751</v>
      </c>
      <c r="O121" s="289" t="s">
        <v>2019</v>
      </c>
      <c r="P121" s="292"/>
    </row>
    <row r="122" spans="1:16" hidden="1" x14ac:dyDescent="0.25">
      <c r="A122" s="287" t="s">
        <v>2016</v>
      </c>
      <c r="B122" s="311" t="s">
        <v>194</v>
      </c>
      <c r="C122" s="305"/>
      <c r="D122" s="288" t="s">
        <v>2017</v>
      </c>
      <c r="E122" s="288" t="s">
        <v>685</v>
      </c>
      <c r="F122" s="289">
        <v>8000747806</v>
      </c>
      <c r="G122" s="290">
        <v>45950</v>
      </c>
      <c r="H122" s="291">
        <v>300000</v>
      </c>
      <c r="I122" s="291">
        <v>300000</v>
      </c>
      <c r="J122" s="291">
        <v>0</v>
      </c>
      <c r="K122" s="289" t="s">
        <v>1731</v>
      </c>
      <c r="L122" s="288" t="s">
        <v>1828</v>
      </c>
      <c r="M122" s="288" t="s">
        <v>1829</v>
      </c>
      <c r="N122" s="288" t="s">
        <v>1830</v>
      </c>
      <c r="O122" s="289" t="s">
        <v>2020</v>
      </c>
      <c r="P122" s="292"/>
    </row>
    <row r="123" spans="1:16" hidden="1" x14ac:dyDescent="0.25">
      <c r="A123" s="287" t="s">
        <v>2016</v>
      </c>
      <c r="B123" s="311" t="s">
        <v>194</v>
      </c>
      <c r="C123" s="305"/>
      <c r="D123" s="288" t="s">
        <v>2017</v>
      </c>
      <c r="E123" s="288" t="s">
        <v>2021</v>
      </c>
      <c r="F123" s="289">
        <v>8000781933</v>
      </c>
      <c r="G123" s="290">
        <v>46044</v>
      </c>
      <c r="H123" s="291">
        <v>68479961.420000002</v>
      </c>
      <c r="I123" s="291">
        <v>68479961.420000002</v>
      </c>
      <c r="J123" s="291">
        <v>0</v>
      </c>
      <c r="K123" s="289" t="s">
        <v>1731</v>
      </c>
      <c r="L123" s="288" t="s">
        <v>1773</v>
      </c>
      <c r="M123" s="288" t="s">
        <v>1774</v>
      </c>
      <c r="N123" s="288" t="s">
        <v>1734</v>
      </c>
      <c r="O123" s="289" t="s">
        <v>2020</v>
      </c>
      <c r="P123" s="292"/>
    </row>
    <row r="124" spans="1:16" hidden="1" x14ac:dyDescent="0.25">
      <c r="A124" s="287" t="s">
        <v>2022</v>
      </c>
      <c r="B124" s="311" t="s">
        <v>2023</v>
      </c>
      <c r="C124" s="305"/>
      <c r="D124" s="288" t="s">
        <v>2024</v>
      </c>
      <c r="E124" s="288" t="s">
        <v>1741</v>
      </c>
      <c r="F124" s="289"/>
      <c r="G124" s="290">
        <v>45567</v>
      </c>
      <c r="H124" s="291">
        <v>27930</v>
      </c>
      <c r="I124" s="291">
        <v>27930</v>
      </c>
      <c r="J124" s="291">
        <v>-27929.99</v>
      </c>
      <c r="K124" s="289" t="s">
        <v>1731</v>
      </c>
      <c r="L124" s="288" t="s">
        <v>1732</v>
      </c>
      <c r="M124" s="288" t="s">
        <v>1733</v>
      </c>
      <c r="N124" s="288" t="s">
        <v>1734</v>
      </c>
      <c r="O124" s="289" t="s">
        <v>1791</v>
      </c>
      <c r="P124" s="292"/>
    </row>
    <row r="125" spans="1:16" hidden="1" x14ac:dyDescent="0.25">
      <c r="A125" s="287" t="s">
        <v>2025</v>
      </c>
      <c r="B125" s="311" t="s">
        <v>2026</v>
      </c>
      <c r="C125" s="305"/>
      <c r="D125" s="288" t="s">
        <v>2027</v>
      </c>
      <c r="E125" s="288"/>
      <c r="F125" s="289"/>
      <c r="G125" s="290">
        <v>45565</v>
      </c>
      <c r="H125" s="291">
        <v>514529.08</v>
      </c>
      <c r="I125" s="291">
        <v>514529.08</v>
      </c>
      <c r="J125" s="291">
        <v>-557149.07999999996</v>
      </c>
      <c r="K125" s="289" t="s">
        <v>1731</v>
      </c>
      <c r="L125" s="288" t="s">
        <v>1732</v>
      </c>
      <c r="M125" s="288" t="s">
        <v>1733</v>
      </c>
      <c r="N125" s="288" t="s">
        <v>1734</v>
      </c>
      <c r="O125" s="289" t="s">
        <v>1791</v>
      </c>
      <c r="P125" s="292"/>
    </row>
    <row r="126" spans="1:16" hidden="1" x14ac:dyDescent="0.25">
      <c r="A126" s="287" t="s">
        <v>2025</v>
      </c>
      <c r="B126" s="311" t="s">
        <v>2026</v>
      </c>
      <c r="C126" s="305"/>
      <c r="D126" s="288" t="s">
        <v>2027</v>
      </c>
      <c r="E126" s="288"/>
      <c r="F126" s="289"/>
      <c r="G126" s="290">
        <v>45471</v>
      </c>
      <c r="H126" s="291">
        <v>42620</v>
      </c>
      <c r="I126" s="291">
        <v>42620</v>
      </c>
      <c r="J126" s="291">
        <v>-557149.07999999996</v>
      </c>
      <c r="K126" s="289" t="s">
        <v>1731</v>
      </c>
      <c r="L126" s="288" t="s">
        <v>1773</v>
      </c>
      <c r="M126" s="288" t="s">
        <v>1774</v>
      </c>
      <c r="N126" s="288" t="s">
        <v>1734</v>
      </c>
      <c r="O126" s="289" t="s">
        <v>1791</v>
      </c>
      <c r="P126" s="292"/>
    </row>
    <row r="127" spans="1:16" hidden="1" x14ac:dyDescent="0.25">
      <c r="A127" s="287" t="s">
        <v>2028</v>
      </c>
      <c r="B127" s="311" t="s">
        <v>2029</v>
      </c>
      <c r="C127" s="305"/>
      <c r="D127" s="288" t="s">
        <v>2030</v>
      </c>
      <c r="E127" s="288"/>
      <c r="F127" s="289">
        <v>8701759369</v>
      </c>
      <c r="G127" s="290">
        <v>46058</v>
      </c>
      <c r="H127" s="291">
        <v>2900</v>
      </c>
      <c r="I127" s="291">
        <v>0</v>
      </c>
      <c r="J127" s="291">
        <v>0</v>
      </c>
      <c r="K127" s="289" t="s">
        <v>1731</v>
      </c>
      <c r="L127" s="288" t="s">
        <v>1732</v>
      </c>
      <c r="M127" s="288" t="s">
        <v>1733</v>
      </c>
      <c r="N127" s="288" t="s">
        <v>1734</v>
      </c>
      <c r="O127" s="289" t="s">
        <v>2031</v>
      </c>
      <c r="P127" s="292"/>
    </row>
    <row r="128" spans="1:16" hidden="1" x14ac:dyDescent="0.25">
      <c r="A128" s="287" t="s">
        <v>2028</v>
      </c>
      <c r="B128" s="311" t="s">
        <v>2029</v>
      </c>
      <c r="C128" s="305"/>
      <c r="D128" s="288" t="s">
        <v>2030</v>
      </c>
      <c r="E128" s="288"/>
      <c r="F128" s="289">
        <v>8701543566</v>
      </c>
      <c r="G128" s="290">
        <v>45806</v>
      </c>
      <c r="H128" s="291">
        <v>0.04</v>
      </c>
      <c r="I128" s="291">
        <v>0.04</v>
      </c>
      <c r="J128" s="291">
        <v>-0.04</v>
      </c>
      <c r="K128" s="289" t="s">
        <v>1731</v>
      </c>
      <c r="L128" s="288" t="s">
        <v>1732</v>
      </c>
      <c r="M128" s="288" t="s">
        <v>1733</v>
      </c>
      <c r="N128" s="288" t="s">
        <v>1734</v>
      </c>
      <c r="O128" s="289" t="s">
        <v>2032</v>
      </c>
      <c r="P128" s="292"/>
    </row>
    <row r="129" spans="1:16" hidden="1" x14ac:dyDescent="0.25">
      <c r="A129" s="287" t="s">
        <v>2028</v>
      </c>
      <c r="B129" s="311" t="s">
        <v>2029</v>
      </c>
      <c r="C129" s="305"/>
      <c r="D129" s="288" t="s">
        <v>2030</v>
      </c>
      <c r="E129" s="288" t="s">
        <v>2033</v>
      </c>
      <c r="F129" s="289">
        <v>8701545385</v>
      </c>
      <c r="G129" s="290">
        <v>45806</v>
      </c>
      <c r="H129" s="291">
        <v>0.02</v>
      </c>
      <c r="I129" s="291">
        <v>0.02</v>
      </c>
      <c r="J129" s="291">
        <v>-0.02</v>
      </c>
      <c r="K129" s="289" t="s">
        <v>1731</v>
      </c>
      <c r="L129" s="288" t="s">
        <v>1732</v>
      </c>
      <c r="M129" s="288" t="s">
        <v>1733</v>
      </c>
      <c r="N129" s="288" t="s">
        <v>1734</v>
      </c>
      <c r="O129" s="289" t="s">
        <v>2034</v>
      </c>
      <c r="P129" s="292"/>
    </row>
    <row r="130" spans="1:16" hidden="1" x14ac:dyDescent="0.25">
      <c r="A130" s="287" t="s">
        <v>2028</v>
      </c>
      <c r="B130" s="311" t="s">
        <v>2029</v>
      </c>
      <c r="C130" s="305"/>
      <c r="D130" s="288" t="s">
        <v>2030</v>
      </c>
      <c r="E130" s="288" t="s">
        <v>1741</v>
      </c>
      <c r="F130" s="289"/>
      <c r="G130" s="290">
        <v>45562</v>
      </c>
      <c r="H130" s="291">
        <v>146391.98000000001</v>
      </c>
      <c r="I130" s="291">
        <v>146391.98000000001</v>
      </c>
      <c r="J130" s="291">
        <v>-72665.02</v>
      </c>
      <c r="K130" s="289" t="s">
        <v>1731</v>
      </c>
      <c r="L130" s="288" t="s">
        <v>1732</v>
      </c>
      <c r="M130" s="288" t="s">
        <v>1733</v>
      </c>
      <c r="N130" s="288" t="s">
        <v>1734</v>
      </c>
      <c r="O130" s="289" t="s">
        <v>1791</v>
      </c>
      <c r="P130" s="292"/>
    </row>
    <row r="131" spans="1:16" hidden="1" x14ac:dyDescent="0.25">
      <c r="A131" s="287" t="s">
        <v>2035</v>
      </c>
      <c r="B131" s="311" t="s">
        <v>2036</v>
      </c>
      <c r="C131" s="305"/>
      <c r="D131" s="288" t="s">
        <v>2037</v>
      </c>
      <c r="E131" s="288" t="s">
        <v>2038</v>
      </c>
      <c r="F131" s="289">
        <v>4000103881</v>
      </c>
      <c r="G131" s="290">
        <v>46081</v>
      </c>
      <c r="H131" s="291">
        <v>5443.62</v>
      </c>
      <c r="I131" s="291">
        <v>2721.81</v>
      </c>
      <c r="J131" s="291">
        <v>0</v>
      </c>
      <c r="K131" s="289" t="s">
        <v>1731</v>
      </c>
      <c r="L131" s="288" t="s">
        <v>1780</v>
      </c>
      <c r="M131" s="288" t="s">
        <v>1781</v>
      </c>
      <c r="N131" s="288" t="s">
        <v>1751</v>
      </c>
      <c r="O131" s="289" t="s">
        <v>1782</v>
      </c>
      <c r="P131" s="292"/>
    </row>
    <row r="132" spans="1:16" hidden="1" x14ac:dyDescent="0.25">
      <c r="A132" s="287" t="s">
        <v>2039</v>
      </c>
      <c r="B132" s="311" t="s">
        <v>2040</v>
      </c>
      <c r="C132" s="305"/>
      <c r="D132" s="288" t="s">
        <v>2041</v>
      </c>
      <c r="E132" s="288" t="s">
        <v>2042</v>
      </c>
      <c r="F132" s="289"/>
      <c r="G132" s="290">
        <v>45548</v>
      </c>
      <c r="H132" s="291">
        <v>7098.49</v>
      </c>
      <c r="I132" s="291">
        <v>7098.49</v>
      </c>
      <c r="J132" s="291">
        <v>0</v>
      </c>
      <c r="K132" s="289" t="s">
        <v>1731</v>
      </c>
      <c r="L132" s="288" t="s">
        <v>1773</v>
      </c>
      <c r="M132" s="288" t="s">
        <v>1774</v>
      </c>
      <c r="N132" s="288" t="s">
        <v>1734</v>
      </c>
      <c r="O132" s="289" t="s">
        <v>1791</v>
      </c>
      <c r="P132" s="292"/>
    </row>
    <row r="133" spans="1:16" hidden="1" x14ac:dyDescent="0.25">
      <c r="A133" s="287" t="s">
        <v>2039</v>
      </c>
      <c r="B133" s="311" t="s">
        <v>2040</v>
      </c>
      <c r="C133" s="305"/>
      <c r="D133" s="288" t="s">
        <v>2041</v>
      </c>
      <c r="E133" s="288" t="s">
        <v>2043</v>
      </c>
      <c r="F133" s="289"/>
      <c r="G133" s="290">
        <v>45548</v>
      </c>
      <c r="H133" s="291">
        <v>4250</v>
      </c>
      <c r="I133" s="291">
        <v>4250</v>
      </c>
      <c r="J133" s="291">
        <v>0</v>
      </c>
      <c r="K133" s="289" t="s">
        <v>1731</v>
      </c>
      <c r="L133" s="288" t="s">
        <v>1773</v>
      </c>
      <c r="M133" s="288" t="s">
        <v>1774</v>
      </c>
      <c r="N133" s="288" t="s">
        <v>1734</v>
      </c>
      <c r="O133" s="289" t="s">
        <v>1791</v>
      </c>
      <c r="P133" s="292"/>
    </row>
    <row r="134" spans="1:16" hidden="1" x14ac:dyDescent="0.25">
      <c r="A134" s="287" t="s">
        <v>2044</v>
      </c>
      <c r="B134" s="311" t="s">
        <v>2045</v>
      </c>
      <c r="C134" s="305"/>
      <c r="D134" s="288" t="s">
        <v>2046</v>
      </c>
      <c r="E134" s="288" t="s">
        <v>2047</v>
      </c>
      <c r="F134" s="289">
        <v>4000243964</v>
      </c>
      <c r="G134" s="290">
        <v>46057</v>
      </c>
      <c r="H134" s="291">
        <v>51380.74</v>
      </c>
      <c r="I134" s="291">
        <v>51380.74</v>
      </c>
      <c r="J134" s="291">
        <v>0</v>
      </c>
      <c r="K134" s="289" t="s">
        <v>1731</v>
      </c>
      <c r="L134" s="288" t="s">
        <v>1749</v>
      </c>
      <c r="M134" s="288" t="s">
        <v>1750</v>
      </c>
      <c r="N134" s="288" t="s">
        <v>1751</v>
      </c>
      <c r="O134" s="289" t="s">
        <v>2048</v>
      </c>
      <c r="P134" s="292"/>
    </row>
    <row r="135" spans="1:16" hidden="1" x14ac:dyDescent="0.25">
      <c r="A135" s="287" t="s">
        <v>2049</v>
      </c>
      <c r="B135" s="311" t="s">
        <v>2050</v>
      </c>
      <c r="C135" s="305"/>
      <c r="D135" s="288" t="s">
        <v>2051</v>
      </c>
      <c r="E135" s="288" t="s">
        <v>1741</v>
      </c>
      <c r="F135" s="289"/>
      <c r="G135" s="290">
        <v>45547</v>
      </c>
      <c r="H135" s="291">
        <v>33254.400000000001</v>
      </c>
      <c r="I135" s="291">
        <v>33254.400000000001</v>
      </c>
      <c r="J135" s="291">
        <v>-33254.400000000001</v>
      </c>
      <c r="K135" s="289" t="s">
        <v>1731</v>
      </c>
      <c r="L135" s="288" t="s">
        <v>1732</v>
      </c>
      <c r="M135" s="288" t="s">
        <v>1733</v>
      </c>
      <c r="N135" s="288" t="s">
        <v>1734</v>
      </c>
      <c r="O135" s="289" t="s">
        <v>1791</v>
      </c>
      <c r="P135" s="292"/>
    </row>
    <row r="136" spans="1:16" hidden="1" x14ac:dyDescent="0.25">
      <c r="A136" s="287" t="s">
        <v>2052</v>
      </c>
      <c r="B136" s="311" t="s">
        <v>2053</v>
      </c>
      <c r="C136" s="305"/>
      <c r="D136" s="288" t="s">
        <v>2054</v>
      </c>
      <c r="E136" s="288" t="s">
        <v>2055</v>
      </c>
      <c r="F136" s="289">
        <v>8000593201</v>
      </c>
      <c r="G136" s="290">
        <v>45267</v>
      </c>
      <c r="H136" s="291">
        <v>1847529.2</v>
      </c>
      <c r="I136" s="291">
        <v>1847529.2</v>
      </c>
      <c r="J136" s="291">
        <v>-1539607.67</v>
      </c>
      <c r="K136" s="289" t="s">
        <v>1731</v>
      </c>
      <c r="L136" s="288" t="s">
        <v>1773</v>
      </c>
      <c r="M136" s="288" t="s">
        <v>1774</v>
      </c>
      <c r="N136" s="288" t="s">
        <v>1734</v>
      </c>
      <c r="O136" s="289" t="s">
        <v>2056</v>
      </c>
      <c r="P136" s="292"/>
    </row>
    <row r="137" spans="1:16" hidden="1" x14ac:dyDescent="0.25">
      <c r="A137" s="287" t="s">
        <v>2057</v>
      </c>
      <c r="B137" s="311" t="s">
        <v>2058</v>
      </c>
      <c r="C137" s="305"/>
      <c r="D137" s="288" t="s">
        <v>2059</v>
      </c>
      <c r="E137" s="288"/>
      <c r="F137" s="289">
        <v>8701774889</v>
      </c>
      <c r="G137" s="290">
        <v>46079</v>
      </c>
      <c r="H137" s="291">
        <v>57300</v>
      </c>
      <c r="I137" s="291">
        <v>57300</v>
      </c>
      <c r="J137" s="291">
        <v>0</v>
      </c>
      <c r="K137" s="289" t="s">
        <v>1731</v>
      </c>
      <c r="L137" s="288" t="s">
        <v>1773</v>
      </c>
      <c r="M137" s="288" t="s">
        <v>1774</v>
      </c>
      <c r="N137" s="288" t="s">
        <v>1734</v>
      </c>
      <c r="O137" s="289" t="s">
        <v>1892</v>
      </c>
      <c r="P137" s="292"/>
    </row>
    <row r="138" spans="1:16" hidden="1" x14ac:dyDescent="0.25">
      <c r="A138" s="287" t="s">
        <v>2060</v>
      </c>
      <c r="B138" s="311" t="s">
        <v>2061</v>
      </c>
      <c r="C138" s="305"/>
      <c r="D138" s="288" t="s">
        <v>2062</v>
      </c>
      <c r="E138" s="288" t="s">
        <v>1741</v>
      </c>
      <c r="F138" s="289"/>
      <c r="G138" s="290">
        <v>45595</v>
      </c>
      <c r="H138" s="291">
        <v>137931.46</v>
      </c>
      <c r="I138" s="291">
        <v>137931.46</v>
      </c>
      <c r="J138" s="291">
        <v>0</v>
      </c>
      <c r="K138" s="289" t="s">
        <v>1731</v>
      </c>
      <c r="L138" s="288" t="s">
        <v>1732</v>
      </c>
      <c r="M138" s="288" t="s">
        <v>1733</v>
      </c>
      <c r="N138" s="288" t="s">
        <v>1734</v>
      </c>
      <c r="O138" s="289" t="s">
        <v>1791</v>
      </c>
      <c r="P138" s="292"/>
    </row>
    <row r="139" spans="1:16" hidden="1" x14ac:dyDescent="0.25">
      <c r="A139" s="287" t="s">
        <v>2063</v>
      </c>
      <c r="B139" s="311" t="s">
        <v>2064</v>
      </c>
      <c r="C139" s="305"/>
      <c r="D139" s="288" t="s">
        <v>2065</v>
      </c>
      <c r="E139" s="288" t="s">
        <v>1741</v>
      </c>
      <c r="F139" s="289">
        <v>8701749941</v>
      </c>
      <c r="G139" s="290">
        <v>46051</v>
      </c>
      <c r="H139" s="291">
        <v>19075.23</v>
      </c>
      <c r="I139" s="291">
        <v>19075.23</v>
      </c>
      <c r="J139" s="291">
        <v>0</v>
      </c>
      <c r="K139" s="289" t="s">
        <v>1731</v>
      </c>
      <c r="L139" s="288" t="s">
        <v>1732</v>
      </c>
      <c r="M139" s="288" t="s">
        <v>1733</v>
      </c>
      <c r="N139" s="288" t="s">
        <v>1734</v>
      </c>
      <c r="O139" s="289" t="s">
        <v>1797</v>
      </c>
      <c r="P139" s="292"/>
    </row>
    <row r="140" spans="1:16" hidden="1" x14ac:dyDescent="0.25">
      <c r="A140" s="287" t="s">
        <v>2066</v>
      </c>
      <c r="B140" s="311" t="s">
        <v>2067</v>
      </c>
      <c r="C140" s="305"/>
      <c r="D140" s="288" t="s">
        <v>2068</v>
      </c>
      <c r="E140" s="288" t="s">
        <v>1741</v>
      </c>
      <c r="F140" s="289"/>
      <c r="G140" s="290">
        <v>45596</v>
      </c>
      <c r="H140" s="291">
        <v>24716</v>
      </c>
      <c r="I140" s="291">
        <v>24716</v>
      </c>
      <c r="J140" s="291">
        <v>-24716</v>
      </c>
      <c r="K140" s="289" t="s">
        <v>1731</v>
      </c>
      <c r="L140" s="288" t="s">
        <v>1732</v>
      </c>
      <c r="M140" s="288" t="s">
        <v>1733</v>
      </c>
      <c r="N140" s="288" t="s">
        <v>1734</v>
      </c>
      <c r="O140" s="289" t="s">
        <v>1791</v>
      </c>
      <c r="P140" s="292"/>
    </row>
    <row r="141" spans="1:16" hidden="1" x14ac:dyDescent="0.25">
      <c r="A141" s="287" t="s">
        <v>2069</v>
      </c>
      <c r="B141" s="311" t="s">
        <v>2070</v>
      </c>
      <c r="C141" s="305"/>
      <c r="D141" s="288" t="s">
        <v>2071</v>
      </c>
      <c r="E141" s="288"/>
      <c r="F141" s="289">
        <v>8701552243</v>
      </c>
      <c r="G141" s="290">
        <v>45834</v>
      </c>
      <c r="H141" s="291">
        <v>3800</v>
      </c>
      <c r="I141" s="291">
        <v>3800</v>
      </c>
      <c r="J141" s="291">
        <v>0</v>
      </c>
      <c r="K141" s="289" t="s">
        <v>1731</v>
      </c>
      <c r="L141" s="288" t="s">
        <v>1773</v>
      </c>
      <c r="M141" s="288" t="s">
        <v>1774</v>
      </c>
      <c r="N141" s="288" t="s">
        <v>1734</v>
      </c>
      <c r="O141" s="289" t="s">
        <v>2072</v>
      </c>
      <c r="P141" s="292"/>
    </row>
    <row r="142" spans="1:16" hidden="1" x14ac:dyDescent="0.25">
      <c r="A142" s="287" t="s">
        <v>2073</v>
      </c>
      <c r="B142" s="311" t="s">
        <v>2074</v>
      </c>
      <c r="C142" s="305"/>
      <c r="D142" s="288" t="s">
        <v>2075</v>
      </c>
      <c r="E142" s="288" t="s">
        <v>2076</v>
      </c>
      <c r="F142" s="289">
        <v>8000363933</v>
      </c>
      <c r="G142" s="290">
        <v>45996</v>
      </c>
      <c r="H142" s="291">
        <v>460034.37</v>
      </c>
      <c r="I142" s="291">
        <v>460034.37</v>
      </c>
      <c r="J142" s="291">
        <v>0</v>
      </c>
      <c r="K142" s="289" t="s">
        <v>1731</v>
      </c>
      <c r="L142" s="288" t="s">
        <v>1732</v>
      </c>
      <c r="M142" s="288" t="s">
        <v>1733</v>
      </c>
      <c r="N142" s="288" t="s">
        <v>1734</v>
      </c>
      <c r="O142" s="289" t="s">
        <v>2077</v>
      </c>
      <c r="P142" s="292"/>
    </row>
    <row r="143" spans="1:16" hidden="1" x14ac:dyDescent="0.25">
      <c r="A143" s="287" t="s">
        <v>2078</v>
      </c>
      <c r="B143" s="311" t="s">
        <v>2079</v>
      </c>
      <c r="C143" s="305"/>
      <c r="D143" s="288" t="s">
        <v>2080</v>
      </c>
      <c r="E143" s="288" t="s">
        <v>1741</v>
      </c>
      <c r="F143" s="289"/>
      <c r="G143" s="290">
        <v>45652</v>
      </c>
      <c r="H143" s="291">
        <v>29400</v>
      </c>
      <c r="I143" s="291">
        <v>29400</v>
      </c>
      <c r="J143" s="291">
        <v>-29400</v>
      </c>
      <c r="K143" s="289" t="s">
        <v>1731</v>
      </c>
      <c r="L143" s="288" t="s">
        <v>1773</v>
      </c>
      <c r="M143" s="288" t="s">
        <v>1774</v>
      </c>
      <c r="N143" s="288" t="s">
        <v>1734</v>
      </c>
      <c r="O143" s="289" t="s">
        <v>1791</v>
      </c>
      <c r="P143" s="292"/>
    </row>
    <row r="144" spans="1:16" hidden="1" x14ac:dyDescent="0.25">
      <c r="A144" s="287" t="s">
        <v>2081</v>
      </c>
      <c r="B144" s="311" t="s">
        <v>2082</v>
      </c>
      <c r="C144" s="305"/>
      <c r="D144" s="288" t="s">
        <v>2083</v>
      </c>
      <c r="E144" s="288" t="s">
        <v>1741</v>
      </c>
      <c r="F144" s="289"/>
      <c r="G144" s="290">
        <v>45568</v>
      </c>
      <c r="H144" s="291">
        <v>460469.2</v>
      </c>
      <c r="I144" s="291">
        <v>460469.2</v>
      </c>
      <c r="J144" s="291">
        <v>-17153.099999999999</v>
      </c>
      <c r="K144" s="289" t="s">
        <v>1731</v>
      </c>
      <c r="L144" s="288" t="s">
        <v>1732</v>
      </c>
      <c r="M144" s="288" t="s">
        <v>1733</v>
      </c>
      <c r="N144" s="288" t="s">
        <v>1734</v>
      </c>
      <c r="O144" s="289" t="s">
        <v>1791</v>
      </c>
      <c r="P144" s="292"/>
    </row>
    <row r="145" spans="1:17" hidden="1" x14ac:dyDescent="0.25">
      <c r="A145" s="287" t="s">
        <v>2081</v>
      </c>
      <c r="B145" s="311" t="s">
        <v>2082</v>
      </c>
      <c r="C145" s="305"/>
      <c r="D145" s="288" t="s">
        <v>2083</v>
      </c>
      <c r="E145" s="288" t="s">
        <v>2084</v>
      </c>
      <c r="F145" s="289"/>
      <c r="G145" s="290">
        <v>45496</v>
      </c>
      <c r="H145" s="291">
        <v>165187</v>
      </c>
      <c r="I145" s="291">
        <v>165187</v>
      </c>
      <c r="J145" s="291">
        <v>0</v>
      </c>
      <c r="K145" s="289" t="s">
        <v>1731</v>
      </c>
      <c r="L145" s="288" t="s">
        <v>1732</v>
      </c>
      <c r="M145" s="288" t="s">
        <v>1733</v>
      </c>
      <c r="N145" s="288" t="s">
        <v>1734</v>
      </c>
      <c r="O145" s="289" t="s">
        <v>1791</v>
      </c>
      <c r="P145" s="292"/>
    </row>
    <row r="146" spans="1:17" hidden="1" x14ac:dyDescent="0.25">
      <c r="A146" s="287" t="s">
        <v>2085</v>
      </c>
      <c r="B146" s="311" t="s">
        <v>2086</v>
      </c>
      <c r="C146" s="305"/>
      <c r="D146" s="288" t="s">
        <v>2087</v>
      </c>
      <c r="E146" s="288"/>
      <c r="F146" s="289"/>
      <c r="G146" s="290">
        <v>45744</v>
      </c>
      <c r="H146" s="291">
        <v>484731.29</v>
      </c>
      <c r="I146" s="291">
        <v>484731.29</v>
      </c>
      <c r="J146" s="291">
        <v>-202818.29</v>
      </c>
      <c r="K146" s="289" t="s">
        <v>1731</v>
      </c>
      <c r="L146" s="288" t="s">
        <v>1732</v>
      </c>
      <c r="M146" s="288" t="s">
        <v>1733</v>
      </c>
      <c r="N146" s="288" t="s">
        <v>1734</v>
      </c>
      <c r="O146" s="289" t="s">
        <v>1791</v>
      </c>
      <c r="P146" s="292"/>
    </row>
    <row r="147" spans="1:17" hidden="1" x14ac:dyDescent="0.25">
      <c r="A147" s="287" t="s">
        <v>2085</v>
      </c>
      <c r="B147" s="311" t="s">
        <v>2086</v>
      </c>
      <c r="C147" s="305"/>
      <c r="D147" s="288" t="s">
        <v>2087</v>
      </c>
      <c r="E147" s="288" t="s">
        <v>2088</v>
      </c>
      <c r="F147" s="289">
        <v>8000725699</v>
      </c>
      <c r="G147" s="290">
        <v>45636</v>
      </c>
      <c r="H147" s="291">
        <v>1051757.8</v>
      </c>
      <c r="I147" s="291">
        <v>1051757.8</v>
      </c>
      <c r="J147" s="291">
        <v>-1051757.8</v>
      </c>
      <c r="K147" s="289" t="s">
        <v>1731</v>
      </c>
      <c r="L147" s="288" t="s">
        <v>1732</v>
      </c>
      <c r="M147" s="288" t="s">
        <v>1733</v>
      </c>
      <c r="N147" s="288" t="s">
        <v>1734</v>
      </c>
      <c r="O147" s="289" t="s">
        <v>2089</v>
      </c>
      <c r="P147" s="292"/>
    </row>
    <row r="148" spans="1:17" hidden="1" x14ac:dyDescent="0.25">
      <c r="A148" s="287" t="s">
        <v>2090</v>
      </c>
      <c r="B148" s="311" t="s">
        <v>2091</v>
      </c>
      <c r="C148" s="305"/>
      <c r="D148" s="288" t="s">
        <v>2092</v>
      </c>
      <c r="E148" s="288"/>
      <c r="F148" s="289"/>
      <c r="G148" s="290">
        <v>45594</v>
      </c>
      <c r="H148" s="291">
        <v>326290.39</v>
      </c>
      <c r="I148" s="291">
        <v>326290.39</v>
      </c>
      <c r="J148" s="291">
        <v>0</v>
      </c>
      <c r="K148" s="289" t="s">
        <v>1731</v>
      </c>
      <c r="L148" s="288" t="s">
        <v>1732</v>
      </c>
      <c r="M148" s="288" t="s">
        <v>1733</v>
      </c>
      <c r="N148" s="288" t="s">
        <v>1734</v>
      </c>
      <c r="O148" s="289" t="s">
        <v>1791</v>
      </c>
      <c r="P148" s="292"/>
    </row>
    <row r="149" spans="1:17" hidden="1" x14ac:dyDescent="0.25">
      <c r="A149" s="287" t="s">
        <v>2090</v>
      </c>
      <c r="B149" s="311" t="s">
        <v>2091</v>
      </c>
      <c r="C149" s="305"/>
      <c r="D149" s="288" t="s">
        <v>2092</v>
      </c>
      <c r="E149" s="288" t="s">
        <v>2033</v>
      </c>
      <c r="F149" s="289"/>
      <c r="G149" s="290">
        <v>45596</v>
      </c>
      <c r="H149" s="291">
        <v>136668.81</v>
      </c>
      <c r="I149" s="291">
        <v>136668.81</v>
      </c>
      <c r="J149" s="291">
        <v>0</v>
      </c>
      <c r="K149" s="289" t="s">
        <v>1731</v>
      </c>
      <c r="L149" s="288" t="s">
        <v>1732</v>
      </c>
      <c r="M149" s="288" t="s">
        <v>1733</v>
      </c>
      <c r="N149" s="288" t="s">
        <v>1734</v>
      </c>
      <c r="O149" s="289" t="s">
        <v>1791</v>
      </c>
      <c r="P149" s="292"/>
    </row>
    <row r="150" spans="1:17" hidden="1" x14ac:dyDescent="0.25">
      <c r="A150" s="287" t="s">
        <v>2093</v>
      </c>
      <c r="B150" s="311" t="s">
        <v>2094</v>
      </c>
      <c r="C150" s="305"/>
      <c r="D150" s="288" t="s">
        <v>2095</v>
      </c>
      <c r="E150" s="288" t="s">
        <v>1741</v>
      </c>
      <c r="F150" s="289"/>
      <c r="G150" s="290">
        <v>45425</v>
      </c>
      <c r="H150" s="291">
        <v>5300</v>
      </c>
      <c r="I150" s="291">
        <v>5300</v>
      </c>
      <c r="J150" s="291">
        <v>-5300</v>
      </c>
      <c r="K150" s="289" t="s">
        <v>1731</v>
      </c>
      <c r="L150" s="288" t="s">
        <v>1773</v>
      </c>
      <c r="M150" s="288" t="s">
        <v>1774</v>
      </c>
      <c r="N150" s="288" t="s">
        <v>1734</v>
      </c>
      <c r="O150" s="289" t="s">
        <v>1791</v>
      </c>
      <c r="P150" s="292"/>
    </row>
    <row r="151" spans="1:17" hidden="1" x14ac:dyDescent="0.25">
      <c r="A151" s="287" t="s">
        <v>2096</v>
      </c>
      <c r="B151" s="311" t="s">
        <v>2097</v>
      </c>
      <c r="C151" s="305"/>
      <c r="D151" s="288" t="s">
        <v>2098</v>
      </c>
      <c r="E151" s="288" t="s">
        <v>2099</v>
      </c>
      <c r="F151" s="289">
        <v>8000725688</v>
      </c>
      <c r="G151" s="290">
        <v>45932</v>
      </c>
      <c r="H151" s="291">
        <v>6700</v>
      </c>
      <c r="I151" s="291">
        <v>6700</v>
      </c>
      <c r="J151" s="291">
        <v>0</v>
      </c>
      <c r="K151" s="289" t="s">
        <v>1731</v>
      </c>
      <c r="L151" s="288" t="s">
        <v>1773</v>
      </c>
      <c r="M151" s="288" t="s">
        <v>1774</v>
      </c>
      <c r="N151" s="288" t="s">
        <v>1734</v>
      </c>
      <c r="O151" s="289" t="s">
        <v>1737</v>
      </c>
      <c r="P151" s="292"/>
    </row>
    <row r="152" spans="1:17" hidden="1" x14ac:dyDescent="0.25">
      <c r="A152" s="287" t="s">
        <v>2100</v>
      </c>
      <c r="B152" s="311" t="s">
        <v>2101</v>
      </c>
      <c r="C152" s="305"/>
      <c r="D152" s="288" t="s">
        <v>2102</v>
      </c>
      <c r="E152" s="288" t="s">
        <v>1741</v>
      </c>
      <c r="F152" s="289"/>
      <c r="G152" s="290">
        <v>45562</v>
      </c>
      <c r="H152" s="291">
        <v>64267.199999999997</v>
      </c>
      <c r="I152" s="291">
        <v>64267.199999999997</v>
      </c>
      <c r="J152" s="291">
        <v>-64267.199999999997</v>
      </c>
      <c r="K152" s="289" t="s">
        <v>1731</v>
      </c>
      <c r="L152" s="288" t="s">
        <v>1773</v>
      </c>
      <c r="M152" s="288" t="s">
        <v>1774</v>
      </c>
      <c r="N152" s="288" t="s">
        <v>1734</v>
      </c>
      <c r="O152" s="289" t="s">
        <v>1791</v>
      </c>
      <c r="P152" s="292"/>
    </row>
    <row r="153" spans="1:17" hidden="1" x14ac:dyDescent="0.25">
      <c r="A153" s="287" t="s">
        <v>2103</v>
      </c>
      <c r="B153" s="311" t="s">
        <v>2104</v>
      </c>
      <c r="C153" s="305"/>
      <c r="D153" s="288" t="s">
        <v>2105</v>
      </c>
      <c r="E153" s="288" t="s">
        <v>2106</v>
      </c>
      <c r="F153" s="289">
        <v>8000725522</v>
      </c>
      <c r="G153" s="290">
        <v>45565</v>
      </c>
      <c r="H153" s="291">
        <v>1082.04</v>
      </c>
      <c r="I153" s="291">
        <v>1082.04</v>
      </c>
      <c r="J153" s="291">
        <v>-1082.04</v>
      </c>
      <c r="K153" s="289" t="s">
        <v>1731</v>
      </c>
      <c r="L153" s="288" t="s">
        <v>1732</v>
      </c>
      <c r="M153" s="288" t="s">
        <v>1733</v>
      </c>
      <c r="N153" s="288" t="s">
        <v>1734</v>
      </c>
      <c r="O153" s="289" t="s">
        <v>1879</v>
      </c>
      <c r="P153" s="292"/>
    </row>
    <row r="154" spans="1:17" hidden="1" x14ac:dyDescent="0.25">
      <c r="A154" s="287" t="s">
        <v>2103</v>
      </c>
      <c r="B154" s="311" t="s">
        <v>2104</v>
      </c>
      <c r="C154" s="305"/>
      <c r="D154" s="288" t="s">
        <v>2105</v>
      </c>
      <c r="E154" s="288" t="s">
        <v>1741</v>
      </c>
      <c r="F154" s="289"/>
      <c r="G154" s="290">
        <v>45568</v>
      </c>
      <c r="H154" s="291">
        <v>10443.299999999999</v>
      </c>
      <c r="I154" s="291">
        <v>10443.299999999999</v>
      </c>
      <c r="J154" s="291">
        <v>-10443.299999999999</v>
      </c>
      <c r="K154" s="289" t="s">
        <v>1731</v>
      </c>
      <c r="L154" s="288" t="s">
        <v>1732</v>
      </c>
      <c r="M154" s="288" t="s">
        <v>1733</v>
      </c>
      <c r="N154" s="288" t="s">
        <v>1734</v>
      </c>
      <c r="O154" s="289" t="s">
        <v>1791</v>
      </c>
      <c r="P154" s="292"/>
    </row>
    <row r="155" spans="1:17" ht="26.25" hidden="1" x14ac:dyDescent="0.25">
      <c r="A155" s="287" t="s">
        <v>2107</v>
      </c>
      <c r="B155" s="311" t="s">
        <v>2108</v>
      </c>
      <c r="C155" s="305"/>
      <c r="D155" s="288" t="s">
        <v>2109</v>
      </c>
      <c r="E155" s="288" t="s">
        <v>2033</v>
      </c>
      <c r="F155" s="289">
        <v>8701758633</v>
      </c>
      <c r="G155" s="290">
        <v>46079</v>
      </c>
      <c r="H155" s="291">
        <v>77373.740000000005</v>
      </c>
      <c r="I155" s="291">
        <v>0</v>
      </c>
      <c r="J155" s="291">
        <v>0</v>
      </c>
      <c r="K155" s="289" t="s">
        <v>1731</v>
      </c>
      <c r="L155" s="288" t="s">
        <v>1732</v>
      </c>
      <c r="M155" s="288" t="s">
        <v>1733</v>
      </c>
      <c r="N155" s="288" t="s">
        <v>1734</v>
      </c>
      <c r="O155" s="289" t="s">
        <v>2110</v>
      </c>
      <c r="P155" s="292"/>
    </row>
    <row r="156" spans="1:17" ht="26.25" hidden="1" x14ac:dyDescent="0.25">
      <c r="A156" s="287" t="s">
        <v>2107</v>
      </c>
      <c r="B156" s="311" t="s">
        <v>2108</v>
      </c>
      <c r="C156" s="305"/>
      <c r="D156" s="288" t="s">
        <v>2109</v>
      </c>
      <c r="E156" s="288" t="s">
        <v>2111</v>
      </c>
      <c r="F156" s="289">
        <v>8000809051</v>
      </c>
      <c r="G156" s="290">
        <v>46079</v>
      </c>
      <c r="H156" s="291">
        <v>161762.22</v>
      </c>
      <c r="I156" s="291">
        <v>0</v>
      </c>
      <c r="J156" s="291">
        <v>0</v>
      </c>
      <c r="K156" s="289" t="s">
        <v>1731</v>
      </c>
      <c r="L156" s="288" t="s">
        <v>1732</v>
      </c>
      <c r="M156" s="288" t="s">
        <v>1733</v>
      </c>
      <c r="N156" s="288" t="s">
        <v>1734</v>
      </c>
      <c r="O156" s="289" t="s">
        <v>2110</v>
      </c>
      <c r="P156" s="292"/>
    </row>
    <row r="157" spans="1:17" hidden="1" x14ac:dyDescent="0.25">
      <c r="A157" s="287" t="s">
        <v>2112</v>
      </c>
      <c r="B157" s="311" t="s">
        <v>2113</v>
      </c>
      <c r="C157" s="305"/>
      <c r="D157" s="288" t="s">
        <v>2114</v>
      </c>
      <c r="E157" s="288" t="s">
        <v>1741</v>
      </c>
      <c r="F157" s="289"/>
      <c r="G157" s="290">
        <v>45617</v>
      </c>
      <c r="H157" s="291">
        <v>56848.47</v>
      </c>
      <c r="I157" s="291">
        <v>56848.47</v>
      </c>
      <c r="J157" s="291">
        <v>-56848.47</v>
      </c>
      <c r="K157" s="289" t="s">
        <v>1731</v>
      </c>
      <c r="L157" s="288" t="s">
        <v>1773</v>
      </c>
      <c r="M157" s="288" t="s">
        <v>1774</v>
      </c>
      <c r="N157" s="288" t="s">
        <v>1734</v>
      </c>
      <c r="O157" s="289" t="s">
        <v>1791</v>
      </c>
      <c r="P157" s="292"/>
    </row>
    <row r="158" spans="1:17" s="364" customFormat="1" ht="120" x14ac:dyDescent="0.25">
      <c r="A158" s="293" t="s">
        <v>2115</v>
      </c>
      <c r="B158" s="312" t="s">
        <v>1194</v>
      </c>
      <c r="C158" s="216" t="s">
        <v>1697</v>
      </c>
      <c r="D158" s="294" t="s">
        <v>1196</v>
      </c>
      <c r="E158" s="294" t="s">
        <v>1289</v>
      </c>
      <c r="F158" s="295">
        <v>8000771562</v>
      </c>
      <c r="G158" s="296">
        <v>45960</v>
      </c>
      <c r="H158" s="297">
        <v>5000000</v>
      </c>
      <c r="I158" s="297">
        <v>5000000</v>
      </c>
      <c r="J158" s="297">
        <v>0</v>
      </c>
      <c r="K158" s="295" t="s">
        <v>1731</v>
      </c>
      <c r="L158" s="294" t="s">
        <v>1773</v>
      </c>
      <c r="M158" s="294" t="s">
        <v>1774</v>
      </c>
      <c r="N158" s="294" t="s">
        <v>1734</v>
      </c>
      <c r="O158" s="295" t="s">
        <v>2116</v>
      </c>
      <c r="P158" s="298"/>
      <c r="Q158" s="364">
        <v>1</v>
      </c>
    </row>
    <row r="159" spans="1:17" hidden="1" x14ac:dyDescent="0.25">
      <c r="A159" s="287" t="s">
        <v>2117</v>
      </c>
      <c r="B159" s="311" t="s">
        <v>2118</v>
      </c>
      <c r="C159" s="62"/>
      <c r="D159" s="288" t="s">
        <v>2119</v>
      </c>
      <c r="E159" s="288" t="s">
        <v>2120</v>
      </c>
      <c r="F159" s="289"/>
      <c r="G159" s="290">
        <v>45534</v>
      </c>
      <c r="H159" s="291">
        <v>47669.279999999999</v>
      </c>
      <c r="I159" s="291">
        <v>47669.279999999999</v>
      </c>
      <c r="J159" s="291">
        <v>-47669.279999999999</v>
      </c>
      <c r="K159" s="289" t="s">
        <v>1731</v>
      </c>
      <c r="L159" s="288" t="s">
        <v>1732</v>
      </c>
      <c r="M159" s="288" t="s">
        <v>1733</v>
      </c>
      <c r="N159" s="288" t="s">
        <v>1734</v>
      </c>
      <c r="O159" s="289" t="s">
        <v>1791</v>
      </c>
      <c r="P159" s="292"/>
    </row>
    <row r="160" spans="1:17" hidden="1" x14ac:dyDescent="0.25">
      <c r="A160" s="287" t="s">
        <v>2121</v>
      </c>
      <c r="B160" s="311" t="s">
        <v>2122</v>
      </c>
      <c r="C160" s="62"/>
      <c r="D160" s="288" t="s">
        <v>2123</v>
      </c>
      <c r="E160" s="288" t="s">
        <v>2124</v>
      </c>
      <c r="F160" s="289"/>
      <c r="G160" s="290">
        <v>45503</v>
      </c>
      <c r="H160" s="291">
        <v>14400</v>
      </c>
      <c r="I160" s="291">
        <v>14400</v>
      </c>
      <c r="J160" s="291">
        <v>-14400</v>
      </c>
      <c r="K160" s="289" t="s">
        <v>1731</v>
      </c>
      <c r="L160" s="288" t="s">
        <v>1742</v>
      </c>
      <c r="M160" s="288" t="s">
        <v>1743</v>
      </c>
      <c r="N160" s="288" t="s">
        <v>1734</v>
      </c>
      <c r="O160" s="289" t="s">
        <v>1791</v>
      </c>
      <c r="P160" s="292"/>
    </row>
    <row r="161" spans="1:16" hidden="1" x14ac:dyDescent="0.25">
      <c r="A161" s="287" t="s">
        <v>2125</v>
      </c>
      <c r="B161" s="311" t="s">
        <v>2126</v>
      </c>
      <c r="C161" s="62"/>
      <c r="D161" s="288" t="s">
        <v>2127</v>
      </c>
      <c r="E161" s="288" t="s">
        <v>2128</v>
      </c>
      <c r="F161" s="289">
        <v>4000228819</v>
      </c>
      <c r="G161" s="290">
        <v>45565</v>
      </c>
      <c r="H161" s="291">
        <v>28980</v>
      </c>
      <c r="I161" s="291">
        <v>28980</v>
      </c>
      <c r="J161" s="291">
        <v>0</v>
      </c>
      <c r="K161" s="289" t="s">
        <v>1731</v>
      </c>
      <c r="L161" s="288" t="s">
        <v>1754</v>
      </c>
      <c r="M161" s="288" t="s">
        <v>1755</v>
      </c>
      <c r="N161" s="288" t="s">
        <v>1751</v>
      </c>
      <c r="O161" s="289" t="s">
        <v>2129</v>
      </c>
      <c r="P161" s="292"/>
    </row>
    <row r="162" spans="1:16" hidden="1" x14ac:dyDescent="0.25">
      <c r="A162" s="287" t="s">
        <v>2125</v>
      </c>
      <c r="B162" s="311" t="s">
        <v>2126</v>
      </c>
      <c r="C162" s="62"/>
      <c r="D162" s="288" t="s">
        <v>2127</v>
      </c>
      <c r="E162" s="288" t="s">
        <v>2130</v>
      </c>
      <c r="F162" s="289">
        <v>4000228820</v>
      </c>
      <c r="G162" s="290">
        <v>45565</v>
      </c>
      <c r="H162" s="291">
        <v>8694</v>
      </c>
      <c r="I162" s="291">
        <v>8694</v>
      </c>
      <c r="J162" s="291">
        <v>0</v>
      </c>
      <c r="K162" s="289" t="s">
        <v>1731</v>
      </c>
      <c r="L162" s="288" t="s">
        <v>1754</v>
      </c>
      <c r="M162" s="288" t="s">
        <v>1755</v>
      </c>
      <c r="N162" s="288" t="s">
        <v>1751</v>
      </c>
      <c r="O162" s="289" t="s">
        <v>2129</v>
      </c>
      <c r="P162" s="292"/>
    </row>
    <row r="163" spans="1:16" hidden="1" x14ac:dyDescent="0.25">
      <c r="A163" s="287" t="s">
        <v>2131</v>
      </c>
      <c r="B163" s="311" t="s">
        <v>2132</v>
      </c>
      <c r="C163" s="62"/>
      <c r="D163" s="288" t="s">
        <v>2133</v>
      </c>
      <c r="E163" s="288"/>
      <c r="F163" s="289"/>
      <c r="G163" s="290">
        <v>45651</v>
      </c>
      <c r="H163" s="291">
        <v>2550.79</v>
      </c>
      <c r="I163" s="291">
        <v>2550.79</v>
      </c>
      <c r="J163" s="291">
        <v>-2550.79</v>
      </c>
      <c r="K163" s="289" t="s">
        <v>1731</v>
      </c>
      <c r="L163" s="288" t="s">
        <v>1773</v>
      </c>
      <c r="M163" s="288" t="s">
        <v>1774</v>
      </c>
      <c r="N163" s="288" t="s">
        <v>1734</v>
      </c>
      <c r="O163" s="289" t="s">
        <v>1791</v>
      </c>
      <c r="P163" s="292"/>
    </row>
    <row r="164" spans="1:16" hidden="1" x14ac:dyDescent="0.25">
      <c r="A164" s="287" t="s">
        <v>2134</v>
      </c>
      <c r="B164" s="311" t="s">
        <v>2135</v>
      </c>
      <c r="C164" s="62"/>
      <c r="D164" s="288" t="s">
        <v>2136</v>
      </c>
      <c r="E164" s="288"/>
      <c r="F164" s="289"/>
      <c r="G164" s="290">
        <v>45651</v>
      </c>
      <c r="H164" s="291">
        <v>721684.42</v>
      </c>
      <c r="I164" s="291">
        <v>721684.42</v>
      </c>
      <c r="J164" s="291">
        <v>-62759.76</v>
      </c>
      <c r="K164" s="289" t="s">
        <v>1731</v>
      </c>
      <c r="L164" s="288" t="s">
        <v>1732</v>
      </c>
      <c r="M164" s="288" t="s">
        <v>1733</v>
      </c>
      <c r="N164" s="288" t="s">
        <v>1734</v>
      </c>
      <c r="O164" s="289" t="s">
        <v>1791</v>
      </c>
      <c r="P164" s="292"/>
    </row>
    <row r="165" spans="1:16" hidden="1" x14ac:dyDescent="0.25">
      <c r="A165" s="287" t="s">
        <v>2134</v>
      </c>
      <c r="B165" s="311" t="s">
        <v>2135</v>
      </c>
      <c r="C165" s="62"/>
      <c r="D165" s="288" t="s">
        <v>2136</v>
      </c>
      <c r="E165" s="288" t="s">
        <v>2137</v>
      </c>
      <c r="F165" s="289">
        <v>8000725603</v>
      </c>
      <c r="G165" s="290">
        <v>45631</v>
      </c>
      <c r="H165" s="291">
        <v>1431562.49</v>
      </c>
      <c r="I165" s="291">
        <v>1431562.49</v>
      </c>
      <c r="J165" s="291">
        <v>0</v>
      </c>
      <c r="K165" s="289" t="s">
        <v>1731</v>
      </c>
      <c r="L165" s="288" t="s">
        <v>1732</v>
      </c>
      <c r="M165" s="288" t="s">
        <v>1733</v>
      </c>
      <c r="N165" s="288" t="s">
        <v>1734</v>
      </c>
      <c r="O165" s="289" t="s">
        <v>1879</v>
      </c>
      <c r="P165" s="292"/>
    </row>
    <row r="166" spans="1:16" hidden="1" x14ac:dyDescent="0.25">
      <c r="A166" s="287" t="s">
        <v>2134</v>
      </c>
      <c r="B166" s="311" t="s">
        <v>2135</v>
      </c>
      <c r="C166" s="62"/>
      <c r="D166" s="288" t="s">
        <v>2136</v>
      </c>
      <c r="E166" s="288" t="s">
        <v>1741</v>
      </c>
      <c r="F166" s="289"/>
      <c r="G166" s="290">
        <v>45589</v>
      </c>
      <c r="H166" s="291">
        <v>606145.01</v>
      </c>
      <c r="I166" s="291">
        <v>606145.01</v>
      </c>
      <c r="J166" s="291">
        <v>0</v>
      </c>
      <c r="K166" s="289" t="s">
        <v>1731</v>
      </c>
      <c r="L166" s="288" t="s">
        <v>1732</v>
      </c>
      <c r="M166" s="288" t="s">
        <v>1733</v>
      </c>
      <c r="N166" s="288" t="s">
        <v>1734</v>
      </c>
      <c r="O166" s="289" t="s">
        <v>1791</v>
      </c>
      <c r="P166" s="292"/>
    </row>
    <row r="167" spans="1:16" hidden="1" x14ac:dyDescent="0.25">
      <c r="A167" s="287" t="s">
        <v>2138</v>
      </c>
      <c r="B167" s="311" t="s">
        <v>2139</v>
      </c>
      <c r="C167" s="62"/>
      <c r="D167" s="288" t="s">
        <v>2140</v>
      </c>
      <c r="E167" s="288" t="s">
        <v>1741</v>
      </c>
      <c r="F167" s="289"/>
      <c r="G167" s="290">
        <v>45505</v>
      </c>
      <c r="H167" s="291">
        <v>94556</v>
      </c>
      <c r="I167" s="291">
        <v>94556</v>
      </c>
      <c r="J167" s="291">
        <v>0</v>
      </c>
      <c r="K167" s="289" t="s">
        <v>1731</v>
      </c>
      <c r="L167" s="288" t="s">
        <v>1773</v>
      </c>
      <c r="M167" s="288" t="s">
        <v>1774</v>
      </c>
      <c r="N167" s="288" t="s">
        <v>1734</v>
      </c>
      <c r="O167" s="289" t="s">
        <v>1791</v>
      </c>
      <c r="P167" s="292"/>
    </row>
    <row r="168" spans="1:16" hidden="1" x14ac:dyDescent="0.25">
      <c r="A168" s="287" t="s">
        <v>2141</v>
      </c>
      <c r="B168" s="311" t="s">
        <v>2142</v>
      </c>
      <c r="C168" s="62"/>
      <c r="D168" s="288" t="s">
        <v>2143</v>
      </c>
      <c r="E168" s="288" t="s">
        <v>1741</v>
      </c>
      <c r="F168" s="289"/>
      <c r="G168" s="290">
        <v>45574</v>
      </c>
      <c r="H168" s="291">
        <v>170902</v>
      </c>
      <c r="I168" s="291">
        <v>170902</v>
      </c>
      <c r="J168" s="291">
        <v>0</v>
      </c>
      <c r="K168" s="289" t="s">
        <v>1731</v>
      </c>
      <c r="L168" s="288" t="s">
        <v>1732</v>
      </c>
      <c r="M168" s="288" t="s">
        <v>1733</v>
      </c>
      <c r="N168" s="288" t="s">
        <v>1734</v>
      </c>
      <c r="O168" s="289" t="s">
        <v>1791</v>
      </c>
      <c r="P168" s="292"/>
    </row>
    <row r="169" spans="1:16" hidden="1" x14ac:dyDescent="0.25">
      <c r="A169" s="287" t="s">
        <v>2141</v>
      </c>
      <c r="B169" s="311" t="s">
        <v>2142</v>
      </c>
      <c r="C169" s="62"/>
      <c r="D169" s="288" t="s">
        <v>2143</v>
      </c>
      <c r="E169" s="288" t="s">
        <v>1741</v>
      </c>
      <c r="F169" s="289"/>
      <c r="G169" s="290">
        <v>45471</v>
      </c>
      <c r="H169" s="291">
        <v>174283</v>
      </c>
      <c r="I169" s="291">
        <v>174283</v>
      </c>
      <c r="J169" s="291">
        <v>0</v>
      </c>
      <c r="K169" s="289" t="s">
        <v>1731</v>
      </c>
      <c r="L169" s="288" t="s">
        <v>1773</v>
      </c>
      <c r="M169" s="288" t="s">
        <v>1774</v>
      </c>
      <c r="N169" s="288" t="s">
        <v>1734</v>
      </c>
      <c r="O169" s="289" t="s">
        <v>1791</v>
      </c>
      <c r="P169" s="292"/>
    </row>
    <row r="170" spans="1:16" hidden="1" x14ac:dyDescent="0.25">
      <c r="A170" s="287" t="s">
        <v>2144</v>
      </c>
      <c r="B170" s="311" t="s">
        <v>2145</v>
      </c>
      <c r="C170" s="62"/>
      <c r="D170" s="288" t="s">
        <v>2146</v>
      </c>
      <c r="E170" s="288" t="s">
        <v>1741</v>
      </c>
      <c r="F170" s="289"/>
      <c r="G170" s="290">
        <v>45569</v>
      </c>
      <c r="H170" s="291">
        <v>11234.78</v>
      </c>
      <c r="I170" s="291">
        <v>11234.78</v>
      </c>
      <c r="J170" s="291">
        <v>0</v>
      </c>
      <c r="K170" s="289" t="s">
        <v>1731</v>
      </c>
      <c r="L170" s="288" t="s">
        <v>1732</v>
      </c>
      <c r="M170" s="288" t="s">
        <v>1733</v>
      </c>
      <c r="N170" s="288" t="s">
        <v>1734</v>
      </c>
      <c r="O170" s="289" t="s">
        <v>1791</v>
      </c>
      <c r="P170" s="292"/>
    </row>
    <row r="171" spans="1:16" hidden="1" x14ac:dyDescent="0.25">
      <c r="A171" s="287" t="s">
        <v>2147</v>
      </c>
      <c r="B171" s="311" t="s">
        <v>2148</v>
      </c>
      <c r="C171" s="62"/>
      <c r="D171" s="288" t="s">
        <v>2149</v>
      </c>
      <c r="E171" s="288" t="s">
        <v>2150</v>
      </c>
      <c r="F171" s="289">
        <v>8000628708</v>
      </c>
      <c r="G171" s="290">
        <v>45897</v>
      </c>
      <c r="H171" s="291">
        <v>4450897.16</v>
      </c>
      <c r="I171" s="291">
        <v>4450897.16</v>
      </c>
      <c r="J171" s="291">
        <v>0</v>
      </c>
      <c r="K171" s="289" t="s">
        <v>1731</v>
      </c>
      <c r="L171" s="288" t="s">
        <v>1773</v>
      </c>
      <c r="M171" s="288" t="s">
        <v>1774</v>
      </c>
      <c r="N171" s="288" t="s">
        <v>1734</v>
      </c>
      <c r="O171" s="289" t="s">
        <v>2151</v>
      </c>
      <c r="P171" s="292"/>
    </row>
    <row r="172" spans="1:16" hidden="1" x14ac:dyDescent="0.25">
      <c r="A172" s="287" t="s">
        <v>2147</v>
      </c>
      <c r="B172" s="311" t="s">
        <v>2148</v>
      </c>
      <c r="C172" s="62"/>
      <c r="D172" s="288" t="s">
        <v>2149</v>
      </c>
      <c r="E172" s="288" t="s">
        <v>2152</v>
      </c>
      <c r="F172" s="289">
        <v>8000763224</v>
      </c>
      <c r="G172" s="290">
        <v>45932</v>
      </c>
      <c r="H172" s="291">
        <v>2074632</v>
      </c>
      <c r="I172" s="291">
        <v>2074632</v>
      </c>
      <c r="J172" s="291">
        <v>0</v>
      </c>
      <c r="K172" s="289" t="s">
        <v>1731</v>
      </c>
      <c r="L172" s="288" t="s">
        <v>1773</v>
      </c>
      <c r="M172" s="288" t="s">
        <v>1774</v>
      </c>
      <c r="N172" s="288" t="s">
        <v>1734</v>
      </c>
      <c r="O172" s="289" t="s">
        <v>2153</v>
      </c>
      <c r="P172" s="292"/>
    </row>
    <row r="173" spans="1:16" hidden="1" x14ac:dyDescent="0.25">
      <c r="A173" s="287" t="s">
        <v>2154</v>
      </c>
      <c r="B173" s="311" t="s">
        <v>2155</v>
      </c>
      <c r="C173" s="62"/>
      <c r="D173" s="288" t="s">
        <v>2156</v>
      </c>
      <c r="E173" s="288" t="s">
        <v>2157</v>
      </c>
      <c r="F173" s="289">
        <v>8000312274</v>
      </c>
      <c r="G173" s="290">
        <v>44763</v>
      </c>
      <c r="H173" s="291">
        <v>1754995800</v>
      </c>
      <c r="I173" s="291">
        <v>1754995800</v>
      </c>
      <c r="J173" s="291">
        <v>0</v>
      </c>
      <c r="K173" s="289" t="s">
        <v>1731</v>
      </c>
      <c r="L173" s="288" t="s">
        <v>1732</v>
      </c>
      <c r="M173" s="288" t="s">
        <v>1733</v>
      </c>
      <c r="N173" s="288" t="s">
        <v>1734</v>
      </c>
      <c r="O173" s="289" t="s">
        <v>2004</v>
      </c>
      <c r="P173" s="292"/>
    </row>
    <row r="174" spans="1:16" hidden="1" x14ac:dyDescent="0.25">
      <c r="A174" s="287" t="s">
        <v>2154</v>
      </c>
      <c r="B174" s="311" t="s">
        <v>2155</v>
      </c>
      <c r="C174" s="62"/>
      <c r="D174" s="288" t="s">
        <v>2156</v>
      </c>
      <c r="E174" s="288" t="s">
        <v>2158</v>
      </c>
      <c r="F174" s="289">
        <v>8000396886</v>
      </c>
      <c r="G174" s="290">
        <v>45456</v>
      </c>
      <c r="H174" s="291">
        <v>77209418.819999993</v>
      </c>
      <c r="I174" s="291">
        <v>77209418.819999993</v>
      </c>
      <c r="J174" s="291">
        <v>-46426795</v>
      </c>
      <c r="K174" s="289" t="s">
        <v>1731</v>
      </c>
      <c r="L174" s="288" t="s">
        <v>1732</v>
      </c>
      <c r="M174" s="288" t="s">
        <v>1733</v>
      </c>
      <c r="N174" s="288" t="s">
        <v>1734</v>
      </c>
      <c r="O174" s="289" t="s">
        <v>1997</v>
      </c>
      <c r="P174" s="292"/>
    </row>
    <row r="175" spans="1:16" hidden="1" x14ac:dyDescent="0.25">
      <c r="A175" s="287" t="s">
        <v>2159</v>
      </c>
      <c r="B175" s="311" t="s">
        <v>2160</v>
      </c>
      <c r="C175" s="62"/>
      <c r="D175" s="288" t="s">
        <v>2161</v>
      </c>
      <c r="E175" s="288" t="s">
        <v>2162</v>
      </c>
      <c r="F175" s="289">
        <v>8000725760</v>
      </c>
      <c r="G175" s="290">
        <v>45989</v>
      </c>
      <c r="H175" s="291">
        <v>561108</v>
      </c>
      <c r="I175" s="291">
        <v>561108</v>
      </c>
      <c r="J175" s="291">
        <v>-907149</v>
      </c>
      <c r="K175" s="289" t="s">
        <v>1731</v>
      </c>
      <c r="L175" s="288" t="s">
        <v>1773</v>
      </c>
      <c r="M175" s="288" t="s">
        <v>1774</v>
      </c>
      <c r="N175" s="288" t="s">
        <v>1734</v>
      </c>
      <c r="O175" s="289" t="s">
        <v>2163</v>
      </c>
      <c r="P175" s="292"/>
    </row>
    <row r="176" spans="1:16" hidden="1" x14ac:dyDescent="0.25">
      <c r="A176" s="287" t="s">
        <v>2159</v>
      </c>
      <c r="B176" s="311" t="s">
        <v>2160</v>
      </c>
      <c r="C176" s="62"/>
      <c r="D176" s="288" t="s">
        <v>2161</v>
      </c>
      <c r="E176" s="288" t="s">
        <v>2162</v>
      </c>
      <c r="F176" s="289">
        <v>8000725760</v>
      </c>
      <c r="G176" s="290">
        <v>45744</v>
      </c>
      <c r="H176" s="291">
        <v>907149</v>
      </c>
      <c r="I176" s="291">
        <v>907149</v>
      </c>
      <c r="J176" s="291">
        <v>-907149</v>
      </c>
      <c r="K176" s="289" t="s">
        <v>1731</v>
      </c>
      <c r="L176" s="288" t="s">
        <v>2164</v>
      </c>
      <c r="M176" s="288" t="s">
        <v>2165</v>
      </c>
      <c r="N176" s="288" t="s">
        <v>1734</v>
      </c>
      <c r="O176" s="289" t="s">
        <v>2163</v>
      </c>
      <c r="P176" s="292"/>
    </row>
    <row r="177" spans="1:16" hidden="1" x14ac:dyDescent="0.25">
      <c r="A177" s="287" t="s">
        <v>2166</v>
      </c>
      <c r="B177" s="311" t="s">
        <v>2167</v>
      </c>
      <c r="C177" s="62"/>
      <c r="D177" s="288" t="s">
        <v>2168</v>
      </c>
      <c r="E177" s="288" t="s">
        <v>1741</v>
      </c>
      <c r="F177" s="289"/>
      <c r="G177" s="290">
        <v>45504</v>
      </c>
      <c r="H177" s="291">
        <v>311000</v>
      </c>
      <c r="I177" s="291">
        <v>311000</v>
      </c>
      <c r="J177" s="291">
        <v>-311000</v>
      </c>
      <c r="K177" s="289" t="s">
        <v>1731</v>
      </c>
      <c r="L177" s="288" t="s">
        <v>1773</v>
      </c>
      <c r="M177" s="288" t="s">
        <v>1774</v>
      </c>
      <c r="N177" s="288" t="s">
        <v>1734</v>
      </c>
      <c r="O177" s="289" t="s">
        <v>1791</v>
      </c>
      <c r="P177" s="292"/>
    </row>
    <row r="178" spans="1:16" hidden="1" x14ac:dyDescent="0.25">
      <c r="A178" s="287" t="s">
        <v>2169</v>
      </c>
      <c r="B178" s="311" t="s">
        <v>2170</v>
      </c>
      <c r="C178" s="62"/>
      <c r="D178" s="288" t="s">
        <v>2171</v>
      </c>
      <c r="E178" s="288" t="s">
        <v>1741</v>
      </c>
      <c r="F178" s="289"/>
      <c r="G178" s="290">
        <v>45544</v>
      </c>
      <c r="H178" s="291">
        <v>347896.18</v>
      </c>
      <c r="I178" s="291">
        <v>347896.18</v>
      </c>
      <c r="J178" s="291">
        <v>0</v>
      </c>
      <c r="K178" s="289" t="s">
        <v>1731</v>
      </c>
      <c r="L178" s="288" t="s">
        <v>1732</v>
      </c>
      <c r="M178" s="288" t="s">
        <v>1733</v>
      </c>
      <c r="N178" s="288" t="s">
        <v>1734</v>
      </c>
      <c r="O178" s="289" t="s">
        <v>1791</v>
      </c>
      <c r="P178" s="292"/>
    </row>
    <row r="179" spans="1:16" hidden="1" x14ac:dyDescent="0.25">
      <c r="A179" s="287" t="s">
        <v>2172</v>
      </c>
      <c r="B179" s="311" t="s">
        <v>2173</v>
      </c>
      <c r="C179" s="62"/>
      <c r="D179" s="288" t="s">
        <v>2174</v>
      </c>
      <c r="E179" s="288" t="s">
        <v>2175</v>
      </c>
      <c r="F179" s="289">
        <v>8000777279</v>
      </c>
      <c r="G179" s="290">
        <v>46016</v>
      </c>
      <c r="H179" s="291">
        <v>52997062</v>
      </c>
      <c r="I179" s="291">
        <v>0</v>
      </c>
      <c r="J179" s="291">
        <v>0</v>
      </c>
      <c r="K179" s="289" t="s">
        <v>1731</v>
      </c>
      <c r="L179" s="288" t="s">
        <v>1732</v>
      </c>
      <c r="M179" s="288" t="s">
        <v>1733</v>
      </c>
      <c r="N179" s="288" t="s">
        <v>1734</v>
      </c>
      <c r="O179" s="289" t="s">
        <v>1925</v>
      </c>
      <c r="P179" s="292"/>
    </row>
    <row r="180" spans="1:16" hidden="1" x14ac:dyDescent="0.25">
      <c r="A180" s="287" t="s">
        <v>2176</v>
      </c>
      <c r="B180" s="311" t="s">
        <v>2177</v>
      </c>
      <c r="C180" s="62"/>
      <c r="D180" s="288" t="s">
        <v>2178</v>
      </c>
      <c r="E180" s="288"/>
      <c r="F180" s="289">
        <v>8701691261</v>
      </c>
      <c r="G180" s="290">
        <v>45981</v>
      </c>
      <c r="H180" s="291">
        <v>10535</v>
      </c>
      <c r="I180" s="291">
        <v>10535</v>
      </c>
      <c r="J180" s="291">
        <v>0</v>
      </c>
      <c r="K180" s="289" t="s">
        <v>1731</v>
      </c>
      <c r="L180" s="288" t="s">
        <v>1742</v>
      </c>
      <c r="M180" s="288" t="s">
        <v>1743</v>
      </c>
      <c r="N180" s="288" t="s">
        <v>1734</v>
      </c>
      <c r="O180" s="289" t="s">
        <v>2179</v>
      </c>
      <c r="P180" s="292"/>
    </row>
    <row r="181" spans="1:16" hidden="1" x14ac:dyDescent="0.25">
      <c r="A181" s="287" t="s">
        <v>2176</v>
      </c>
      <c r="B181" s="311" t="s">
        <v>2177</v>
      </c>
      <c r="C181" s="62"/>
      <c r="D181" s="288" t="s">
        <v>2178</v>
      </c>
      <c r="E181" s="288" t="s">
        <v>2180</v>
      </c>
      <c r="F181" s="289">
        <v>4000219336</v>
      </c>
      <c r="G181" s="290">
        <v>45717</v>
      </c>
      <c r="H181" s="291">
        <v>113540.51</v>
      </c>
      <c r="I181" s="291">
        <v>113540.51</v>
      </c>
      <c r="J181" s="291">
        <v>-113540.51</v>
      </c>
      <c r="K181" s="289" t="s">
        <v>1731</v>
      </c>
      <c r="L181" s="288" t="s">
        <v>1754</v>
      </c>
      <c r="M181" s="288" t="s">
        <v>1755</v>
      </c>
      <c r="N181" s="288" t="s">
        <v>1751</v>
      </c>
      <c r="O181" s="289" t="s">
        <v>1787</v>
      </c>
      <c r="P181" s="292"/>
    </row>
    <row r="182" spans="1:16" hidden="1" x14ac:dyDescent="0.25">
      <c r="A182" s="287" t="s">
        <v>2181</v>
      </c>
      <c r="B182" s="311" t="s">
        <v>2182</v>
      </c>
      <c r="C182" s="62"/>
      <c r="D182" s="288" t="s">
        <v>2183</v>
      </c>
      <c r="E182" s="288"/>
      <c r="F182" s="289">
        <v>8701658767</v>
      </c>
      <c r="G182" s="290">
        <v>45953</v>
      </c>
      <c r="H182" s="291">
        <v>15812</v>
      </c>
      <c r="I182" s="291">
        <v>15812</v>
      </c>
      <c r="J182" s="291">
        <v>0</v>
      </c>
      <c r="K182" s="289" t="s">
        <v>1731</v>
      </c>
      <c r="L182" s="288" t="s">
        <v>1732</v>
      </c>
      <c r="M182" s="288" t="s">
        <v>1733</v>
      </c>
      <c r="N182" s="288" t="s">
        <v>1734</v>
      </c>
      <c r="O182" s="289" t="s">
        <v>1796</v>
      </c>
      <c r="P182" s="292"/>
    </row>
    <row r="183" spans="1:16" hidden="1" x14ac:dyDescent="0.25">
      <c r="A183" s="287" t="s">
        <v>2181</v>
      </c>
      <c r="B183" s="311" t="s">
        <v>2182</v>
      </c>
      <c r="C183" s="62"/>
      <c r="D183" s="288" t="s">
        <v>2183</v>
      </c>
      <c r="E183" s="288"/>
      <c r="F183" s="289">
        <v>8701678204</v>
      </c>
      <c r="G183" s="290">
        <v>45967</v>
      </c>
      <c r="H183" s="291">
        <v>350.56</v>
      </c>
      <c r="I183" s="291">
        <v>350.56</v>
      </c>
      <c r="J183" s="291">
        <v>0</v>
      </c>
      <c r="K183" s="289" t="s">
        <v>1731</v>
      </c>
      <c r="L183" s="288" t="s">
        <v>1732</v>
      </c>
      <c r="M183" s="288" t="s">
        <v>1733</v>
      </c>
      <c r="N183" s="288" t="s">
        <v>1734</v>
      </c>
      <c r="O183" s="289" t="s">
        <v>1796</v>
      </c>
      <c r="P183" s="292"/>
    </row>
    <row r="184" spans="1:16" hidden="1" x14ac:dyDescent="0.25">
      <c r="A184" s="287" t="s">
        <v>2181</v>
      </c>
      <c r="B184" s="311" t="s">
        <v>2182</v>
      </c>
      <c r="C184" s="62"/>
      <c r="D184" s="288" t="s">
        <v>2183</v>
      </c>
      <c r="E184" s="288" t="s">
        <v>1741</v>
      </c>
      <c r="F184" s="289">
        <v>8701491343</v>
      </c>
      <c r="G184" s="290">
        <v>45757</v>
      </c>
      <c r="H184" s="291">
        <v>153.22999999999999</v>
      </c>
      <c r="I184" s="291">
        <v>153.22999999999999</v>
      </c>
      <c r="J184" s="291">
        <v>0</v>
      </c>
      <c r="K184" s="289" t="s">
        <v>1731</v>
      </c>
      <c r="L184" s="288" t="s">
        <v>1732</v>
      </c>
      <c r="M184" s="288" t="s">
        <v>1733</v>
      </c>
      <c r="N184" s="288" t="s">
        <v>1734</v>
      </c>
      <c r="O184" s="289" t="s">
        <v>1782</v>
      </c>
      <c r="P184" s="292"/>
    </row>
    <row r="185" spans="1:16" hidden="1" x14ac:dyDescent="0.25">
      <c r="A185" s="287" t="s">
        <v>2184</v>
      </c>
      <c r="B185" s="311" t="s">
        <v>2185</v>
      </c>
      <c r="C185" s="62"/>
      <c r="D185" s="288" t="s">
        <v>2186</v>
      </c>
      <c r="E185" s="288"/>
      <c r="F185" s="289"/>
      <c r="G185" s="290">
        <v>45701</v>
      </c>
      <c r="H185" s="291">
        <v>80000</v>
      </c>
      <c r="I185" s="291">
        <v>80000</v>
      </c>
      <c r="J185" s="291">
        <v>0</v>
      </c>
      <c r="K185" s="289" t="s">
        <v>1731</v>
      </c>
      <c r="L185" s="288" t="s">
        <v>1773</v>
      </c>
      <c r="M185" s="288" t="s">
        <v>1774</v>
      </c>
      <c r="N185" s="288" t="s">
        <v>1734</v>
      </c>
      <c r="O185" s="289" t="s">
        <v>1791</v>
      </c>
      <c r="P185" s="292"/>
    </row>
    <row r="186" spans="1:16" hidden="1" x14ac:dyDescent="0.25">
      <c r="A186" s="287" t="s">
        <v>2187</v>
      </c>
      <c r="B186" s="311" t="s">
        <v>2188</v>
      </c>
      <c r="C186" s="62"/>
      <c r="D186" s="288" t="s">
        <v>2068</v>
      </c>
      <c r="E186" s="288" t="s">
        <v>1741</v>
      </c>
      <c r="F186" s="289"/>
      <c r="G186" s="290">
        <v>45573</v>
      </c>
      <c r="H186" s="291">
        <v>789599.11</v>
      </c>
      <c r="I186" s="291">
        <v>789599.11</v>
      </c>
      <c r="J186" s="291">
        <v>-881826.55</v>
      </c>
      <c r="K186" s="289" t="s">
        <v>1731</v>
      </c>
      <c r="L186" s="288" t="s">
        <v>1732</v>
      </c>
      <c r="M186" s="288" t="s">
        <v>1733</v>
      </c>
      <c r="N186" s="288" t="s">
        <v>1734</v>
      </c>
      <c r="O186" s="289" t="s">
        <v>1791</v>
      </c>
      <c r="P186" s="292"/>
    </row>
    <row r="187" spans="1:16" hidden="1" x14ac:dyDescent="0.25">
      <c r="A187" s="287" t="s">
        <v>2187</v>
      </c>
      <c r="B187" s="311" t="s">
        <v>2188</v>
      </c>
      <c r="C187" s="62"/>
      <c r="D187" s="288" t="s">
        <v>2068</v>
      </c>
      <c r="E187" s="288" t="s">
        <v>1741</v>
      </c>
      <c r="F187" s="289"/>
      <c r="G187" s="290">
        <v>45519</v>
      </c>
      <c r="H187" s="291">
        <v>92227.44</v>
      </c>
      <c r="I187" s="291">
        <v>92227.44</v>
      </c>
      <c r="J187" s="291">
        <v>-881826.55</v>
      </c>
      <c r="K187" s="289" t="s">
        <v>1731</v>
      </c>
      <c r="L187" s="288" t="s">
        <v>1773</v>
      </c>
      <c r="M187" s="288" t="s">
        <v>1774</v>
      </c>
      <c r="N187" s="288" t="s">
        <v>1734</v>
      </c>
      <c r="O187" s="289" t="s">
        <v>1791</v>
      </c>
      <c r="P187" s="292"/>
    </row>
    <row r="188" spans="1:16" hidden="1" x14ac:dyDescent="0.25">
      <c r="A188" s="287" t="s">
        <v>2189</v>
      </c>
      <c r="B188" s="311" t="s">
        <v>2190</v>
      </c>
      <c r="C188" s="62"/>
      <c r="D188" s="288" t="s">
        <v>2191</v>
      </c>
      <c r="E188" s="288" t="s">
        <v>2192</v>
      </c>
      <c r="F188" s="289">
        <v>4000106382</v>
      </c>
      <c r="G188" s="290">
        <v>44105</v>
      </c>
      <c r="H188" s="291">
        <v>3862911.85</v>
      </c>
      <c r="I188" s="291">
        <v>3862911.85</v>
      </c>
      <c r="J188" s="291">
        <v>0</v>
      </c>
      <c r="K188" s="289" t="s">
        <v>1731</v>
      </c>
      <c r="L188" s="288" t="s">
        <v>1754</v>
      </c>
      <c r="M188" s="288" t="s">
        <v>1755</v>
      </c>
      <c r="N188" s="288" t="s">
        <v>1751</v>
      </c>
      <c r="O188" s="289" t="s">
        <v>2193</v>
      </c>
      <c r="P188" s="292"/>
    </row>
    <row r="189" spans="1:16" hidden="1" x14ac:dyDescent="0.25">
      <c r="A189" s="287" t="s">
        <v>2189</v>
      </c>
      <c r="B189" s="311" t="s">
        <v>2190</v>
      </c>
      <c r="C189" s="62"/>
      <c r="D189" s="288" t="s">
        <v>2191</v>
      </c>
      <c r="E189" s="288" t="s">
        <v>2194</v>
      </c>
      <c r="F189" s="289">
        <v>4000147481</v>
      </c>
      <c r="G189" s="290">
        <v>46022</v>
      </c>
      <c r="H189" s="291">
        <v>31931322.390000001</v>
      </c>
      <c r="I189" s="291">
        <v>31931322.390000001</v>
      </c>
      <c r="J189" s="291">
        <v>0</v>
      </c>
      <c r="K189" s="289" t="s">
        <v>1731</v>
      </c>
      <c r="L189" s="288" t="s">
        <v>1754</v>
      </c>
      <c r="M189" s="288" t="s">
        <v>1755</v>
      </c>
      <c r="N189" s="288" t="s">
        <v>1751</v>
      </c>
      <c r="O189" s="289" t="s">
        <v>2195</v>
      </c>
      <c r="P189" s="292"/>
    </row>
    <row r="190" spans="1:16" hidden="1" x14ac:dyDescent="0.25">
      <c r="A190" s="287" t="s">
        <v>2196</v>
      </c>
      <c r="B190" s="311" t="s">
        <v>2197</v>
      </c>
      <c r="C190" s="62"/>
      <c r="D190" s="288" t="s">
        <v>2198</v>
      </c>
      <c r="E190" s="288"/>
      <c r="F190" s="289"/>
      <c r="G190" s="290">
        <v>45694</v>
      </c>
      <c r="H190" s="291">
        <v>439.2</v>
      </c>
      <c r="I190" s="291">
        <v>439.2</v>
      </c>
      <c r="J190" s="291">
        <v>0</v>
      </c>
      <c r="K190" s="289" t="s">
        <v>1731</v>
      </c>
      <c r="L190" s="288" t="s">
        <v>1839</v>
      </c>
      <c r="M190" s="288" t="s">
        <v>1840</v>
      </c>
      <c r="N190" s="288" t="s">
        <v>1841</v>
      </c>
      <c r="O190" s="289" t="s">
        <v>1791</v>
      </c>
      <c r="P190" s="292"/>
    </row>
    <row r="191" spans="1:16" hidden="1" x14ac:dyDescent="0.25">
      <c r="A191" s="287" t="s">
        <v>2199</v>
      </c>
      <c r="B191" s="311" t="s">
        <v>2200</v>
      </c>
      <c r="C191" s="62"/>
      <c r="D191" s="288" t="s">
        <v>2201</v>
      </c>
      <c r="E191" s="288" t="s">
        <v>2202</v>
      </c>
      <c r="F191" s="289">
        <v>8000725719</v>
      </c>
      <c r="G191" s="290">
        <v>45719</v>
      </c>
      <c r="H191" s="291">
        <v>168304.24</v>
      </c>
      <c r="I191" s="291">
        <v>168304.24</v>
      </c>
      <c r="J191" s="291">
        <v>-131363.92000000001</v>
      </c>
      <c r="K191" s="289" t="s">
        <v>1731</v>
      </c>
      <c r="L191" s="288" t="s">
        <v>1732</v>
      </c>
      <c r="M191" s="288" t="s">
        <v>1733</v>
      </c>
      <c r="N191" s="288" t="s">
        <v>1734</v>
      </c>
      <c r="O191" s="289" t="s">
        <v>2203</v>
      </c>
      <c r="P191" s="292"/>
    </row>
    <row r="192" spans="1:16" hidden="1" x14ac:dyDescent="0.25">
      <c r="A192" s="287" t="s">
        <v>2199</v>
      </c>
      <c r="B192" s="311" t="s">
        <v>2200</v>
      </c>
      <c r="C192" s="62"/>
      <c r="D192" s="288" t="s">
        <v>2201</v>
      </c>
      <c r="E192" s="288" t="s">
        <v>2204</v>
      </c>
      <c r="F192" s="289">
        <v>8000725689</v>
      </c>
      <c r="G192" s="290">
        <v>45747</v>
      </c>
      <c r="H192" s="291">
        <v>10539.92</v>
      </c>
      <c r="I192" s="291">
        <v>10539.92</v>
      </c>
      <c r="J192" s="291">
        <v>-14320</v>
      </c>
      <c r="K192" s="289" t="s">
        <v>1731</v>
      </c>
      <c r="L192" s="288" t="s">
        <v>1732</v>
      </c>
      <c r="M192" s="288" t="s">
        <v>1733</v>
      </c>
      <c r="N192" s="288" t="s">
        <v>1734</v>
      </c>
      <c r="O192" s="289" t="s">
        <v>2203</v>
      </c>
      <c r="P192" s="292"/>
    </row>
    <row r="193" spans="1:16" hidden="1" x14ac:dyDescent="0.25">
      <c r="A193" s="287" t="s">
        <v>2205</v>
      </c>
      <c r="B193" s="311" t="s">
        <v>2206</v>
      </c>
      <c r="C193" s="62"/>
      <c r="D193" s="288" t="s">
        <v>2207</v>
      </c>
      <c r="E193" s="288"/>
      <c r="F193" s="289"/>
      <c r="G193" s="290">
        <v>45593</v>
      </c>
      <c r="H193" s="291">
        <v>11451</v>
      </c>
      <c r="I193" s="291">
        <v>11451</v>
      </c>
      <c r="J193" s="291">
        <v>-11451</v>
      </c>
      <c r="K193" s="289" t="s">
        <v>1731</v>
      </c>
      <c r="L193" s="288" t="s">
        <v>1732</v>
      </c>
      <c r="M193" s="288" t="s">
        <v>1733</v>
      </c>
      <c r="N193" s="288" t="s">
        <v>1734</v>
      </c>
      <c r="O193" s="289" t="s">
        <v>1791</v>
      </c>
      <c r="P193" s="292"/>
    </row>
    <row r="194" spans="1:16" hidden="1" x14ac:dyDescent="0.25">
      <c r="A194" s="287" t="s">
        <v>2205</v>
      </c>
      <c r="B194" s="311" t="s">
        <v>2206</v>
      </c>
      <c r="C194" s="62"/>
      <c r="D194" s="288" t="s">
        <v>2207</v>
      </c>
      <c r="E194" s="288" t="s">
        <v>1741</v>
      </c>
      <c r="F194" s="289">
        <v>8700479258</v>
      </c>
      <c r="G194" s="290">
        <v>45527</v>
      </c>
      <c r="H194" s="291">
        <v>12141.43</v>
      </c>
      <c r="I194" s="291">
        <v>12141.43</v>
      </c>
      <c r="J194" s="291">
        <v>-12141.43</v>
      </c>
      <c r="K194" s="289" t="s">
        <v>1731</v>
      </c>
      <c r="L194" s="288" t="s">
        <v>1732</v>
      </c>
      <c r="M194" s="288" t="s">
        <v>1733</v>
      </c>
      <c r="N194" s="288" t="s">
        <v>1734</v>
      </c>
      <c r="O194" s="289" t="s">
        <v>2208</v>
      </c>
      <c r="P194" s="292"/>
    </row>
    <row r="195" spans="1:16" hidden="1" x14ac:dyDescent="0.25">
      <c r="A195" s="287" t="s">
        <v>2205</v>
      </c>
      <c r="B195" s="311" t="s">
        <v>2206</v>
      </c>
      <c r="C195" s="62"/>
      <c r="D195" s="288" t="s">
        <v>2207</v>
      </c>
      <c r="E195" s="288" t="s">
        <v>1741</v>
      </c>
      <c r="F195" s="289"/>
      <c r="G195" s="290">
        <v>45555</v>
      </c>
      <c r="H195" s="291">
        <v>10610.04</v>
      </c>
      <c r="I195" s="291">
        <v>10610.04</v>
      </c>
      <c r="J195" s="291">
        <v>-10610.04</v>
      </c>
      <c r="K195" s="289" t="s">
        <v>1731</v>
      </c>
      <c r="L195" s="288" t="s">
        <v>1732</v>
      </c>
      <c r="M195" s="288" t="s">
        <v>1733</v>
      </c>
      <c r="N195" s="288" t="s">
        <v>1734</v>
      </c>
      <c r="O195" s="289" t="s">
        <v>1791</v>
      </c>
      <c r="P195" s="292"/>
    </row>
    <row r="196" spans="1:16" hidden="1" x14ac:dyDescent="0.25">
      <c r="A196" s="287" t="s">
        <v>2209</v>
      </c>
      <c r="B196" s="311" t="s">
        <v>2210</v>
      </c>
      <c r="C196" s="62"/>
      <c r="D196" s="288" t="s">
        <v>2211</v>
      </c>
      <c r="E196" s="288"/>
      <c r="F196" s="289">
        <v>8701755988</v>
      </c>
      <c r="G196" s="290">
        <v>46058</v>
      </c>
      <c r="H196" s="291">
        <v>72052</v>
      </c>
      <c r="I196" s="291">
        <v>0</v>
      </c>
      <c r="J196" s="291">
        <v>0</v>
      </c>
      <c r="K196" s="289" t="s">
        <v>1731</v>
      </c>
      <c r="L196" s="288" t="s">
        <v>1732</v>
      </c>
      <c r="M196" s="288" t="s">
        <v>1733</v>
      </c>
      <c r="N196" s="288" t="s">
        <v>1734</v>
      </c>
      <c r="O196" s="289" t="s">
        <v>1918</v>
      </c>
      <c r="P196" s="292"/>
    </row>
    <row r="197" spans="1:16" hidden="1" x14ac:dyDescent="0.25">
      <c r="A197" s="287" t="s">
        <v>2212</v>
      </c>
      <c r="B197" s="311" t="s">
        <v>2213</v>
      </c>
      <c r="C197" s="62"/>
      <c r="D197" s="288" t="s">
        <v>2214</v>
      </c>
      <c r="E197" s="288" t="s">
        <v>1741</v>
      </c>
      <c r="F197" s="289"/>
      <c r="G197" s="290">
        <v>45567</v>
      </c>
      <c r="H197" s="291">
        <v>284790.95</v>
      </c>
      <c r="I197" s="291">
        <v>284790.95</v>
      </c>
      <c r="J197" s="291">
        <v>-156374.66</v>
      </c>
      <c r="K197" s="289" t="s">
        <v>1731</v>
      </c>
      <c r="L197" s="288" t="s">
        <v>1732</v>
      </c>
      <c r="M197" s="288" t="s">
        <v>1733</v>
      </c>
      <c r="N197" s="288" t="s">
        <v>1734</v>
      </c>
      <c r="O197" s="289" t="s">
        <v>1791</v>
      </c>
      <c r="P197" s="292"/>
    </row>
    <row r="198" spans="1:16" hidden="1" x14ac:dyDescent="0.25">
      <c r="A198" s="287" t="s">
        <v>2215</v>
      </c>
      <c r="B198" s="311" t="s">
        <v>2216</v>
      </c>
      <c r="C198" s="62"/>
      <c r="D198" s="288" t="s">
        <v>2217</v>
      </c>
      <c r="E198" s="288" t="s">
        <v>1741</v>
      </c>
      <c r="F198" s="289"/>
      <c r="G198" s="290">
        <v>43697</v>
      </c>
      <c r="H198" s="291">
        <v>16000</v>
      </c>
      <c r="I198" s="291">
        <v>16000</v>
      </c>
      <c r="J198" s="291">
        <v>-16000</v>
      </c>
      <c r="K198" s="289" t="s">
        <v>1731</v>
      </c>
      <c r="L198" s="288" t="s">
        <v>1732</v>
      </c>
      <c r="M198" s="288" t="s">
        <v>1733</v>
      </c>
      <c r="N198" s="288" t="s">
        <v>1734</v>
      </c>
      <c r="O198" s="289" t="s">
        <v>1791</v>
      </c>
      <c r="P198" s="292"/>
    </row>
    <row r="199" spans="1:16" hidden="1" x14ac:dyDescent="0.25">
      <c r="A199" s="287" t="s">
        <v>2218</v>
      </c>
      <c r="B199" s="311" t="s">
        <v>2219</v>
      </c>
      <c r="C199" s="62"/>
      <c r="D199" s="288" t="s">
        <v>2220</v>
      </c>
      <c r="E199" s="288" t="s">
        <v>2221</v>
      </c>
      <c r="F199" s="289">
        <v>8000748437</v>
      </c>
      <c r="G199" s="290">
        <v>45904</v>
      </c>
      <c r="H199" s="291">
        <v>4604.92</v>
      </c>
      <c r="I199" s="291">
        <v>4604.92</v>
      </c>
      <c r="J199" s="291">
        <v>0</v>
      </c>
      <c r="K199" s="289" t="s">
        <v>1731</v>
      </c>
      <c r="L199" s="288" t="s">
        <v>1773</v>
      </c>
      <c r="M199" s="288" t="s">
        <v>1774</v>
      </c>
      <c r="N199" s="288" t="s">
        <v>1734</v>
      </c>
      <c r="O199" s="289" t="s">
        <v>2222</v>
      </c>
      <c r="P199" s="292"/>
    </row>
    <row r="200" spans="1:16" hidden="1" x14ac:dyDescent="0.25">
      <c r="A200" s="287" t="s">
        <v>2218</v>
      </c>
      <c r="B200" s="311" t="s">
        <v>2219</v>
      </c>
      <c r="C200" s="62"/>
      <c r="D200" s="288" t="s">
        <v>2220</v>
      </c>
      <c r="E200" s="288" t="s">
        <v>1741</v>
      </c>
      <c r="F200" s="289"/>
      <c r="G200" s="290">
        <v>45827</v>
      </c>
      <c r="H200" s="291">
        <v>62030</v>
      </c>
      <c r="I200" s="291">
        <v>62030</v>
      </c>
      <c r="J200" s="291">
        <v>0</v>
      </c>
      <c r="K200" s="289" t="s">
        <v>1731</v>
      </c>
      <c r="L200" s="288" t="s">
        <v>1732</v>
      </c>
      <c r="M200" s="288" t="s">
        <v>1733</v>
      </c>
      <c r="N200" s="288" t="s">
        <v>1734</v>
      </c>
      <c r="O200" s="289" t="s">
        <v>1791</v>
      </c>
      <c r="P200" s="292"/>
    </row>
    <row r="201" spans="1:16" hidden="1" x14ac:dyDescent="0.25">
      <c r="A201" s="287" t="s">
        <v>2218</v>
      </c>
      <c r="B201" s="311" t="s">
        <v>2219</v>
      </c>
      <c r="C201" s="62"/>
      <c r="D201" s="288" t="s">
        <v>2220</v>
      </c>
      <c r="E201" s="288" t="s">
        <v>1741</v>
      </c>
      <c r="F201" s="289">
        <v>8701765012</v>
      </c>
      <c r="G201" s="290">
        <v>46065</v>
      </c>
      <c r="H201" s="291">
        <v>99784</v>
      </c>
      <c r="I201" s="291">
        <v>99784</v>
      </c>
      <c r="J201" s="291">
        <v>0</v>
      </c>
      <c r="K201" s="289" t="s">
        <v>1731</v>
      </c>
      <c r="L201" s="288" t="s">
        <v>1773</v>
      </c>
      <c r="M201" s="288" t="s">
        <v>1774</v>
      </c>
      <c r="N201" s="288" t="s">
        <v>1734</v>
      </c>
      <c r="O201" s="289" t="s">
        <v>1874</v>
      </c>
      <c r="P201" s="292"/>
    </row>
    <row r="202" spans="1:16" hidden="1" x14ac:dyDescent="0.25">
      <c r="A202" s="287" t="s">
        <v>2223</v>
      </c>
      <c r="B202" s="311" t="s">
        <v>2224</v>
      </c>
      <c r="C202" s="62"/>
      <c r="D202" s="288" t="s">
        <v>2225</v>
      </c>
      <c r="E202" s="288" t="s">
        <v>2226</v>
      </c>
      <c r="F202" s="289">
        <v>8000725605</v>
      </c>
      <c r="G202" s="290">
        <v>45569</v>
      </c>
      <c r="H202" s="291">
        <v>617274.37</v>
      </c>
      <c r="I202" s="291">
        <v>617274.37</v>
      </c>
      <c r="J202" s="291">
        <v>0</v>
      </c>
      <c r="K202" s="289" t="s">
        <v>1731</v>
      </c>
      <c r="L202" s="288" t="s">
        <v>1732</v>
      </c>
      <c r="M202" s="288" t="s">
        <v>1733</v>
      </c>
      <c r="N202" s="288" t="s">
        <v>1734</v>
      </c>
      <c r="O202" s="289" t="s">
        <v>2227</v>
      </c>
      <c r="P202" s="292"/>
    </row>
    <row r="203" spans="1:16" hidden="1" x14ac:dyDescent="0.25">
      <c r="A203" s="287" t="s">
        <v>2223</v>
      </c>
      <c r="B203" s="311" t="s">
        <v>2224</v>
      </c>
      <c r="C203" s="62"/>
      <c r="D203" s="288" t="s">
        <v>2225</v>
      </c>
      <c r="E203" s="288" t="s">
        <v>1741</v>
      </c>
      <c r="F203" s="289"/>
      <c r="G203" s="290">
        <v>45552</v>
      </c>
      <c r="H203" s="291">
        <v>400477.45</v>
      </c>
      <c r="I203" s="291">
        <v>400477.45</v>
      </c>
      <c r="J203" s="291">
        <v>0</v>
      </c>
      <c r="K203" s="289" t="s">
        <v>1731</v>
      </c>
      <c r="L203" s="288" t="s">
        <v>1732</v>
      </c>
      <c r="M203" s="288" t="s">
        <v>1733</v>
      </c>
      <c r="N203" s="288" t="s">
        <v>1734</v>
      </c>
      <c r="O203" s="289" t="s">
        <v>1791</v>
      </c>
      <c r="P203" s="292"/>
    </row>
    <row r="204" spans="1:16" hidden="1" x14ac:dyDescent="0.25">
      <c r="A204" s="287" t="s">
        <v>2223</v>
      </c>
      <c r="B204" s="311" t="s">
        <v>2224</v>
      </c>
      <c r="C204" s="62"/>
      <c r="D204" s="288" t="s">
        <v>2225</v>
      </c>
      <c r="E204" s="288" t="s">
        <v>1741</v>
      </c>
      <c r="F204" s="289"/>
      <c r="G204" s="290">
        <v>45464</v>
      </c>
      <c r="H204" s="291">
        <v>31825.8</v>
      </c>
      <c r="I204" s="291">
        <v>31825.8</v>
      </c>
      <c r="J204" s="291">
        <v>0</v>
      </c>
      <c r="K204" s="289" t="s">
        <v>1731</v>
      </c>
      <c r="L204" s="288" t="s">
        <v>1773</v>
      </c>
      <c r="M204" s="288" t="s">
        <v>1774</v>
      </c>
      <c r="N204" s="288" t="s">
        <v>1734</v>
      </c>
      <c r="O204" s="289" t="s">
        <v>1791</v>
      </c>
      <c r="P204" s="292"/>
    </row>
    <row r="205" spans="1:16" hidden="1" x14ac:dyDescent="0.25">
      <c r="A205" s="287" t="s">
        <v>2228</v>
      </c>
      <c r="B205" s="311" t="s">
        <v>2229</v>
      </c>
      <c r="C205" s="62"/>
      <c r="D205" s="288" t="s">
        <v>2230</v>
      </c>
      <c r="E205" s="288" t="s">
        <v>1741</v>
      </c>
      <c r="F205" s="289"/>
      <c r="G205" s="290">
        <v>45588</v>
      </c>
      <c r="H205" s="291">
        <v>51303.5</v>
      </c>
      <c r="I205" s="291">
        <v>51303.5</v>
      </c>
      <c r="J205" s="291">
        <v>0</v>
      </c>
      <c r="K205" s="289" t="s">
        <v>1731</v>
      </c>
      <c r="L205" s="288" t="s">
        <v>1732</v>
      </c>
      <c r="M205" s="288" t="s">
        <v>1733</v>
      </c>
      <c r="N205" s="288" t="s">
        <v>1734</v>
      </c>
      <c r="O205" s="289" t="s">
        <v>1791</v>
      </c>
      <c r="P205" s="292"/>
    </row>
    <row r="206" spans="1:16" hidden="1" x14ac:dyDescent="0.25">
      <c r="A206" s="287" t="s">
        <v>2231</v>
      </c>
      <c r="B206" s="311" t="s">
        <v>2232</v>
      </c>
      <c r="C206" s="62"/>
      <c r="D206" s="288" t="s">
        <v>2233</v>
      </c>
      <c r="E206" s="288" t="s">
        <v>1741</v>
      </c>
      <c r="F206" s="289"/>
      <c r="G206" s="290">
        <v>45548</v>
      </c>
      <c r="H206" s="291">
        <v>0.34</v>
      </c>
      <c r="I206" s="291">
        <v>0.34</v>
      </c>
      <c r="J206" s="291">
        <v>-0.34</v>
      </c>
      <c r="K206" s="289" t="s">
        <v>1731</v>
      </c>
      <c r="L206" s="288" t="s">
        <v>1732</v>
      </c>
      <c r="M206" s="288" t="s">
        <v>1733</v>
      </c>
      <c r="N206" s="288" t="s">
        <v>1734</v>
      </c>
      <c r="O206" s="289" t="s">
        <v>1791</v>
      </c>
      <c r="P206" s="292"/>
    </row>
    <row r="207" spans="1:16" hidden="1" x14ac:dyDescent="0.25">
      <c r="A207" s="287" t="s">
        <v>2234</v>
      </c>
      <c r="B207" s="311" t="s">
        <v>2235</v>
      </c>
      <c r="C207" s="62"/>
      <c r="D207" s="288" t="s">
        <v>2236</v>
      </c>
      <c r="E207" s="288" t="s">
        <v>1741</v>
      </c>
      <c r="F207" s="289"/>
      <c r="G207" s="290">
        <v>45551</v>
      </c>
      <c r="H207" s="291">
        <v>881430.6</v>
      </c>
      <c r="I207" s="291">
        <v>881430.6</v>
      </c>
      <c r="J207" s="291">
        <v>0</v>
      </c>
      <c r="K207" s="289" t="s">
        <v>1731</v>
      </c>
      <c r="L207" s="288" t="s">
        <v>1732</v>
      </c>
      <c r="M207" s="288" t="s">
        <v>1733</v>
      </c>
      <c r="N207" s="288" t="s">
        <v>1734</v>
      </c>
      <c r="O207" s="289" t="s">
        <v>1791</v>
      </c>
      <c r="P207" s="292"/>
    </row>
    <row r="208" spans="1:16" hidden="1" x14ac:dyDescent="0.25">
      <c r="A208" s="287" t="s">
        <v>2234</v>
      </c>
      <c r="B208" s="311" t="s">
        <v>2235</v>
      </c>
      <c r="C208" s="62"/>
      <c r="D208" s="288" t="s">
        <v>2236</v>
      </c>
      <c r="E208" s="288" t="s">
        <v>2237</v>
      </c>
      <c r="F208" s="289"/>
      <c r="G208" s="290">
        <v>45478</v>
      </c>
      <c r="H208" s="291">
        <v>203117.76</v>
      </c>
      <c r="I208" s="291">
        <v>203117.76</v>
      </c>
      <c r="J208" s="291">
        <v>0</v>
      </c>
      <c r="K208" s="289" t="s">
        <v>1731</v>
      </c>
      <c r="L208" s="288" t="s">
        <v>1732</v>
      </c>
      <c r="M208" s="288" t="s">
        <v>1733</v>
      </c>
      <c r="N208" s="288" t="s">
        <v>1734</v>
      </c>
      <c r="O208" s="289" t="s">
        <v>1791</v>
      </c>
      <c r="P208" s="292"/>
    </row>
    <row r="209" spans="1:17" hidden="1" x14ac:dyDescent="0.25">
      <c r="A209" s="287" t="s">
        <v>2238</v>
      </c>
      <c r="B209" s="311" t="s">
        <v>2239</v>
      </c>
      <c r="C209" s="62"/>
      <c r="D209" s="288" t="s">
        <v>2240</v>
      </c>
      <c r="E209" s="288" t="s">
        <v>1741</v>
      </c>
      <c r="F209" s="289">
        <v>8701544552</v>
      </c>
      <c r="G209" s="290">
        <v>45806</v>
      </c>
      <c r="H209" s="291">
        <v>3050</v>
      </c>
      <c r="I209" s="291">
        <v>3050</v>
      </c>
      <c r="J209" s="291">
        <v>-3050</v>
      </c>
      <c r="K209" s="289" t="s">
        <v>1731</v>
      </c>
      <c r="L209" s="288" t="s">
        <v>1732</v>
      </c>
      <c r="M209" s="288" t="s">
        <v>1733</v>
      </c>
      <c r="N209" s="288" t="s">
        <v>1734</v>
      </c>
      <c r="O209" s="289" t="s">
        <v>1782</v>
      </c>
      <c r="P209" s="292"/>
    </row>
    <row r="210" spans="1:17" hidden="1" x14ac:dyDescent="0.25">
      <c r="A210" s="287" t="s">
        <v>2241</v>
      </c>
      <c r="B210" s="311" t="s">
        <v>2242</v>
      </c>
      <c r="C210" s="62"/>
      <c r="D210" s="288" t="s">
        <v>2243</v>
      </c>
      <c r="E210" s="288"/>
      <c r="F210" s="289">
        <v>8701637251</v>
      </c>
      <c r="G210" s="290">
        <v>45918</v>
      </c>
      <c r="H210" s="291">
        <v>12500</v>
      </c>
      <c r="I210" s="291">
        <v>12500</v>
      </c>
      <c r="J210" s="291">
        <v>0</v>
      </c>
      <c r="K210" s="289" t="s">
        <v>1731</v>
      </c>
      <c r="L210" s="288" t="s">
        <v>1773</v>
      </c>
      <c r="M210" s="288" t="s">
        <v>1774</v>
      </c>
      <c r="N210" s="288" t="s">
        <v>1734</v>
      </c>
      <c r="O210" s="289" t="s">
        <v>2244</v>
      </c>
      <c r="P210" s="292"/>
    </row>
    <row r="211" spans="1:17" hidden="1" x14ac:dyDescent="0.25">
      <c r="A211" s="287" t="s">
        <v>2241</v>
      </c>
      <c r="B211" s="311" t="s">
        <v>2242</v>
      </c>
      <c r="C211" s="62"/>
      <c r="D211" s="288" t="s">
        <v>2243</v>
      </c>
      <c r="E211" s="288"/>
      <c r="F211" s="289">
        <v>8701637256</v>
      </c>
      <c r="G211" s="290">
        <v>45918</v>
      </c>
      <c r="H211" s="291">
        <v>47616</v>
      </c>
      <c r="I211" s="291">
        <v>47616</v>
      </c>
      <c r="J211" s="291">
        <v>0</v>
      </c>
      <c r="K211" s="289" t="s">
        <v>1731</v>
      </c>
      <c r="L211" s="288" t="s">
        <v>1773</v>
      </c>
      <c r="M211" s="288" t="s">
        <v>1774</v>
      </c>
      <c r="N211" s="288" t="s">
        <v>1734</v>
      </c>
      <c r="O211" s="289" t="s">
        <v>2244</v>
      </c>
      <c r="P211" s="292"/>
    </row>
    <row r="212" spans="1:17" hidden="1" x14ac:dyDescent="0.25">
      <c r="A212" s="287" t="s">
        <v>2245</v>
      </c>
      <c r="B212" s="311" t="s">
        <v>2246</v>
      </c>
      <c r="C212" s="62"/>
      <c r="D212" s="288" t="s">
        <v>2247</v>
      </c>
      <c r="E212" s="288" t="s">
        <v>2248</v>
      </c>
      <c r="F212" s="289">
        <v>8000725535</v>
      </c>
      <c r="G212" s="290">
        <v>45810</v>
      </c>
      <c r="H212" s="291">
        <v>515666.43</v>
      </c>
      <c r="I212" s="291">
        <v>515666.43</v>
      </c>
      <c r="J212" s="291">
        <v>0</v>
      </c>
      <c r="K212" s="289" t="s">
        <v>1731</v>
      </c>
      <c r="L212" s="288" t="s">
        <v>1773</v>
      </c>
      <c r="M212" s="288" t="s">
        <v>1774</v>
      </c>
      <c r="N212" s="288" t="s">
        <v>1734</v>
      </c>
      <c r="O212" s="289" t="s">
        <v>1972</v>
      </c>
      <c r="P212" s="292"/>
    </row>
    <row r="213" spans="1:17" hidden="1" x14ac:dyDescent="0.25">
      <c r="A213" s="287" t="s">
        <v>2245</v>
      </c>
      <c r="B213" s="311" t="s">
        <v>2246</v>
      </c>
      <c r="C213" s="62"/>
      <c r="D213" s="288" t="s">
        <v>2247</v>
      </c>
      <c r="E213" s="288" t="s">
        <v>2248</v>
      </c>
      <c r="F213" s="289">
        <v>8000725535</v>
      </c>
      <c r="G213" s="290">
        <v>45744</v>
      </c>
      <c r="H213" s="291">
        <v>318645.62</v>
      </c>
      <c r="I213" s="291">
        <v>318645.62</v>
      </c>
      <c r="J213" s="291">
        <v>0</v>
      </c>
      <c r="K213" s="289" t="s">
        <v>1731</v>
      </c>
      <c r="L213" s="288" t="s">
        <v>2164</v>
      </c>
      <c r="M213" s="288" t="s">
        <v>2165</v>
      </c>
      <c r="N213" s="288" t="s">
        <v>1734</v>
      </c>
      <c r="O213" s="289" t="s">
        <v>1972</v>
      </c>
      <c r="P213" s="292"/>
    </row>
    <row r="214" spans="1:17" hidden="1" x14ac:dyDescent="0.25">
      <c r="A214" s="287" t="s">
        <v>2249</v>
      </c>
      <c r="B214" s="311" t="s">
        <v>2250</v>
      </c>
      <c r="C214" s="62"/>
      <c r="D214" s="288" t="s">
        <v>2251</v>
      </c>
      <c r="E214" s="288"/>
      <c r="F214" s="289">
        <v>8701587403</v>
      </c>
      <c r="G214" s="290">
        <v>45856</v>
      </c>
      <c r="H214" s="291">
        <v>5500</v>
      </c>
      <c r="I214" s="291">
        <v>5500</v>
      </c>
      <c r="J214" s="291">
        <v>0</v>
      </c>
      <c r="K214" s="289" t="s">
        <v>1731</v>
      </c>
      <c r="L214" s="288" t="s">
        <v>1732</v>
      </c>
      <c r="M214" s="288" t="s">
        <v>1733</v>
      </c>
      <c r="N214" s="288" t="s">
        <v>1734</v>
      </c>
      <c r="O214" s="289" t="s">
        <v>1796</v>
      </c>
      <c r="P214" s="292"/>
    </row>
    <row r="215" spans="1:17" hidden="1" x14ac:dyDescent="0.25">
      <c r="A215" s="287" t="s">
        <v>2252</v>
      </c>
      <c r="B215" s="311" t="s">
        <v>2253</v>
      </c>
      <c r="C215" s="62"/>
      <c r="D215" s="288" t="s">
        <v>2254</v>
      </c>
      <c r="E215" s="288"/>
      <c r="F215" s="289">
        <v>8701626637</v>
      </c>
      <c r="G215" s="290">
        <v>45911</v>
      </c>
      <c r="H215" s="291">
        <v>12899.4</v>
      </c>
      <c r="I215" s="291">
        <v>12899.4</v>
      </c>
      <c r="J215" s="291">
        <v>0</v>
      </c>
      <c r="K215" s="289" t="s">
        <v>1731</v>
      </c>
      <c r="L215" s="288" t="s">
        <v>1732</v>
      </c>
      <c r="M215" s="288" t="s">
        <v>1733</v>
      </c>
      <c r="N215" s="288" t="s">
        <v>1734</v>
      </c>
      <c r="O215" s="289" t="s">
        <v>2255</v>
      </c>
      <c r="P215" s="292"/>
    </row>
    <row r="216" spans="1:17" hidden="1" x14ac:dyDescent="0.25">
      <c r="A216" s="287" t="s">
        <v>2252</v>
      </c>
      <c r="B216" s="311" t="s">
        <v>2253</v>
      </c>
      <c r="C216" s="62"/>
      <c r="D216" s="288" t="s">
        <v>2254</v>
      </c>
      <c r="E216" s="288"/>
      <c r="F216" s="289">
        <v>8701621877</v>
      </c>
      <c r="G216" s="290">
        <v>45911</v>
      </c>
      <c r="H216" s="291">
        <v>44800</v>
      </c>
      <c r="I216" s="291">
        <v>44800</v>
      </c>
      <c r="J216" s="291">
        <v>0</v>
      </c>
      <c r="K216" s="289" t="s">
        <v>1731</v>
      </c>
      <c r="L216" s="288" t="s">
        <v>1732</v>
      </c>
      <c r="M216" s="288" t="s">
        <v>1733</v>
      </c>
      <c r="N216" s="288" t="s">
        <v>1734</v>
      </c>
      <c r="O216" s="289" t="s">
        <v>2255</v>
      </c>
      <c r="P216" s="292"/>
    </row>
    <row r="217" spans="1:17" hidden="1" x14ac:dyDescent="0.25">
      <c r="A217" s="287" t="s">
        <v>2252</v>
      </c>
      <c r="B217" s="311" t="s">
        <v>2253</v>
      </c>
      <c r="C217" s="62"/>
      <c r="D217" s="288" t="s">
        <v>2254</v>
      </c>
      <c r="E217" s="288"/>
      <c r="F217" s="289">
        <v>8701666404</v>
      </c>
      <c r="G217" s="290">
        <v>45967</v>
      </c>
      <c r="H217" s="291">
        <v>68200</v>
      </c>
      <c r="I217" s="291">
        <v>0</v>
      </c>
      <c r="J217" s="291">
        <v>0</v>
      </c>
      <c r="K217" s="289" t="s">
        <v>1731</v>
      </c>
      <c r="L217" s="288" t="s">
        <v>1732</v>
      </c>
      <c r="M217" s="288" t="s">
        <v>1733</v>
      </c>
      <c r="N217" s="288" t="s">
        <v>1734</v>
      </c>
      <c r="O217" s="289" t="s">
        <v>2255</v>
      </c>
      <c r="P217" s="292"/>
    </row>
    <row r="218" spans="1:17" hidden="1" x14ac:dyDescent="0.25">
      <c r="A218" s="287" t="s">
        <v>2252</v>
      </c>
      <c r="B218" s="311" t="s">
        <v>2253</v>
      </c>
      <c r="C218" s="62"/>
      <c r="D218" s="288" t="s">
        <v>2254</v>
      </c>
      <c r="E218" s="288"/>
      <c r="F218" s="289">
        <v>8701683890</v>
      </c>
      <c r="G218" s="290">
        <v>45988</v>
      </c>
      <c r="H218" s="291">
        <v>97920</v>
      </c>
      <c r="I218" s="291">
        <v>97920</v>
      </c>
      <c r="J218" s="291">
        <v>0</v>
      </c>
      <c r="K218" s="289" t="s">
        <v>1731</v>
      </c>
      <c r="L218" s="288" t="s">
        <v>1732</v>
      </c>
      <c r="M218" s="288" t="s">
        <v>1733</v>
      </c>
      <c r="N218" s="288" t="s">
        <v>1734</v>
      </c>
      <c r="O218" s="289" t="s">
        <v>2255</v>
      </c>
      <c r="P218" s="292"/>
    </row>
    <row r="219" spans="1:17" hidden="1" x14ac:dyDescent="0.25">
      <c r="A219" s="287" t="s">
        <v>2252</v>
      </c>
      <c r="B219" s="311" t="s">
        <v>2253</v>
      </c>
      <c r="C219" s="62"/>
      <c r="D219" s="288" t="s">
        <v>2254</v>
      </c>
      <c r="E219" s="288" t="s">
        <v>2256</v>
      </c>
      <c r="F219" s="289">
        <v>8000725604</v>
      </c>
      <c r="G219" s="290">
        <v>45574</v>
      </c>
      <c r="H219" s="291">
        <v>24601.200000000001</v>
      </c>
      <c r="I219" s="291">
        <v>24601.200000000001</v>
      </c>
      <c r="J219" s="291">
        <v>0</v>
      </c>
      <c r="K219" s="289" t="s">
        <v>1731</v>
      </c>
      <c r="L219" s="288" t="s">
        <v>1732</v>
      </c>
      <c r="M219" s="288" t="s">
        <v>1733</v>
      </c>
      <c r="N219" s="288" t="s">
        <v>1734</v>
      </c>
      <c r="O219" s="289" t="s">
        <v>2257</v>
      </c>
      <c r="P219" s="292"/>
    </row>
    <row r="220" spans="1:17" hidden="1" x14ac:dyDescent="0.25">
      <c r="A220" s="287" t="s">
        <v>2252</v>
      </c>
      <c r="B220" s="311" t="s">
        <v>2253</v>
      </c>
      <c r="C220" s="62"/>
      <c r="D220" s="288" t="s">
        <v>2254</v>
      </c>
      <c r="E220" s="288" t="s">
        <v>2258</v>
      </c>
      <c r="F220" s="289">
        <v>8000726098</v>
      </c>
      <c r="G220" s="290">
        <v>45596</v>
      </c>
      <c r="H220" s="291">
        <v>111139.8</v>
      </c>
      <c r="I220" s="291">
        <v>111139.8</v>
      </c>
      <c r="J220" s="291">
        <v>0</v>
      </c>
      <c r="K220" s="289" t="s">
        <v>1731</v>
      </c>
      <c r="L220" s="288" t="s">
        <v>1732</v>
      </c>
      <c r="M220" s="288" t="s">
        <v>1733</v>
      </c>
      <c r="N220" s="288" t="s">
        <v>1734</v>
      </c>
      <c r="O220" s="289" t="s">
        <v>2255</v>
      </c>
      <c r="P220" s="292"/>
    </row>
    <row r="221" spans="1:17" hidden="1" x14ac:dyDescent="0.25">
      <c r="A221" s="287" t="s">
        <v>2252</v>
      </c>
      <c r="B221" s="311" t="s">
        <v>2253</v>
      </c>
      <c r="C221" s="62"/>
      <c r="D221" s="288" t="s">
        <v>2254</v>
      </c>
      <c r="E221" s="288" t="s">
        <v>1741</v>
      </c>
      <c r="F221" s="289"/>
      <c r="G221" s="290">
        <v>45574</v>
      </c>
      <c r="H221" s="291">
        <v>2459968.9</v>
      </c>
      <c r="I221" s="291">
        <v>2459968.9</v>
      </c>
      <c r="J221" s="291">
        <v>0</v>
      </c>
      <c r="K221" s="289" t="s">
        <v>1731</v>
      </c>
      <c r="L221" s="288" t="s">
        <v>1732</v>
      </c>
      <c r="M221" s="288" t="s">
        <v>1733</v>
      </c>
      <c r="N221" s="288" t="s">
        <v>1734</v>
      </c>
      <c r="O221" s="289" t="s">
        <v>1791</v>
      </c>
      <c r="P221" s="292"/>
    </row>
    <row r="222" spans="1:17" s="364" customFormat="1" ht="105" x14ac:dyDescent="0.25">
      <c r="A222" s="293" t="s">
        <v>2259</v>
      </c>
      <c r="B222" s="312" t="s">
        <v>1440</v>
      </c>
      <c r="C222" s="216" t="s">
        <v>1665</v>
      </c>
      <c r="D222" s="294" t="s">
        <v>2260</v>
      </c>
      <c r="E222" s="294" t="s">
        <v>1443</v>
      </c>
      <c r="F222" s="295">
        <v>8000773161</v>
      </c>
      <c r="G222" s="296">
        <v>46009</v>
      </c>
      <c r="H222" s="297">
        <v>31620129.600000001</v>
      </c>
      <c r="I222" s="297">
        <v>31620129.600000001</v>
      </c>
      <c r="J222" s="297">
        <v>0</v>
      </c>
      <c r="K222" s="295" t="s">
        <v>1731</v>
      </c>
      <c r="L222" s="294" t="s">
        <v>1773</v>
      </c>
      <c r="M222" s="294" t="s">
        <v>1774</v>
      </c>
      <c r="N222" s="294" t="s">
        <v>1734</v>
      </c>
      <c r="O222" s="295" t="s">
        <v>2261</v>
      </c>
      <c r="P222" s="298"/>
      <c r="Q222" s="364">
        <v>1</v>
      </c>
    </row>
    <row r="223" spans="1:17" hidden="1" x14ac:dyDescent="0.25">
      <c r="A223" s="287" t="s">
        <v>2262</v>
      </c>
      <c r="B223" s="311" t="s">
        <v>2263</v>
      </c>
      <c r="C223" s="62"/>
      <c r="D223" s="288" t="s">
        <v>2264</v>
      </c>
      <c r="E223" s="288" t="s">
        <v>2265</v>
      </c>
      <c r="F223" s="289"/>
      <c r="G223" s="290">
        <v>45532</v>
      </c>
      <c r="H223" s="291">
        <v>131698.56</v>
      </c>
      <c r="I223" s="291">
        <v>131698.56</v>
      </c>
      <c r="J223" s="291">
        <v>-119883.36</v>
      </c>
      <c r="K223" s="289" t="s">
        <v>1731</v>
      </c>
      <c r="L223" s="288" t="s">
        <v>1732</v>
      </c>
      <c r="M223" s="288" t="s">
        <v>1733</v>
      </c>
      <c r="N223" s="288" t="s">
        <v>1734</v>
      </c>
      <c r="O223" s="289" t="s">
        <v>1791</v>
      </c>
      <c r="P223" s="292"/>
    </row>
    <row r="224" spans="1:17" s="364" customFormat="1" ht="75" x14ac:dyDescent="0.25">
      <c r="A224" s="293" t="s">
        <v>2266</v>
      </c>
      <c r="B224" s="312" t="s">
        <v>985</v>
      </c>
      <c r="C224" s="216" t="s">
        <v>4459</v>
      </c>
      <c r="D224" s="294" t="s">
        <v>2267</v>
      </c>
      <c r="E224" s="294" t="s">
        <v>987</v>
      </c>
      <c r="F224" s="295">
        <v>8000727208</v>
      </c>
      <c r="G224" s="296">
        <v>45904</v>
      </c>
      <c r="H224" s="297">
        <v>4668213.08</v>
      </c>
      <c r="I224" s="297">
        <v>4668213.08</v>
      </c>
      <c r="J224" s="297">
        <v>0</v>
      </c>
      <c r="K224" s="295" t="s">
        <v>1731</v>
      </c>
      <c r="L224" s="294" t="s">
        <v>1773</v>
      </c>
      <c r="M224" s="294" t="s">
        <v>1774</v>
      </c>
      <c r="N224" s="294" t="s">
        <v>1734</v>
      </c>
      <c r="O224" s="295" t="s">
        <v>2268</v>
      </c>
      <c r="P224" s="298"/>
      <c r="Q224" s="364">
        <v>1</v>
      </c>
    </row>
    <row r="225" spans="1:16" hidden="1" x14ac:dyDescent="0.25">
      <c r="A225" s="287" t="s">
        <v>2269</v>
      </c>
      <c r="B225" s="311" t="s">
        <v>2270</v>
      </c>
      <c r="C225" s="62"/>
      <c r="D225" s="288" t="s">
        <v>2271</v>
      </c>
      <c r="E225" s="288" t="s">
        <v>1741</v>
      </c>
      <c r="F225" s="289">
        <v>8701752771</v>
      </c>
      <c r="G225" s="290">
        <v>46077</v>
      </c>
      <c r="H225" s="291">
        <v>8570.07</v>
      </c>
      <c r="I225" s="291">
        <v>0</v>
      </c>
      <c r="J225" s="291">
        <v>0</v>
      </c>
      <c r="K225" s="289" t="s">
        <v>1731</v>
      </c>
      <c r="L225" s="288" t="s">
        <v>1773</v>
      </c>
      <c r="M225" s="288" t="s">
        <v>1774</v>
      </c>
      <c r="N225" s="288" t="s">
        <v>1734</v>
      </c>
      <c r="O225" s="289" t="s">
        <v>2272</v>
      </c>
      <c r="P225" s="292"/>
    </row>
    <row r="226" spans="1:16" hidden="1" x14ac:dyDescent="0.25">
      <c r="A226" s="287" t="s">
        <v>2269</v>
      </c>
      <c r="B226" s="311" t="s">
        <v>2270</v>
      </c>
      <c r="C226" s="62"/>
      <c r="D226" s="288" t="s">
        <v>2271</v>
      </c>
      <c r="E226" s="288" t="s">
        <v>1741</v>
      </c>
      <c r="F226" s="289">
        <v>8701397930</v>
      </c>
      <c r="G226" s="290">
        <v>46016</v>
      </c>
      <c r="H226" s="291">
        <v>58433.52</v>
      </c>
      <c r="I226" s="291">
        <v>58433.52</v>
      </c>
      <c r="J226" s="291">
        <v>0</v>
      </c>
      <c r="K226" s="289" t="s">
        <v>1731</v>
      </c>
      <c r="L226" s="288" t="s">
        <v>1773</v>
      </c>
      <c r="M226" s="288" t="s">
        <v>1774</v>
      </c>
      <c r="N226" s="288" t="s">
        <v>1734</v>
      </c>
      <c r="O226" s="289" t="s">
        <v>2272</v>
      </c>
      <c r="P226" s="292"/>
    </row>
    <row r="227" spans="1:16" hidden="1" x14ac:dyDescent="0.25">
      <c r="A227" s="287" t="s">
        <v>2269</v>
      </c>
      <c r="B227" s="311" t="s">
        <v>2270</v>
      </c>
      <c r="C227" s="62"/>
      <c r="D227" s="288" t="s">
        <v>2271</v>
      </c>
      <c r="E227" s="288" t="s">
        <v>1741</v>
      </c>
      <c r="F227" s="289">
        <v>8701397930</v>
      </c>
      <c r="G227" s="290">
        <v>45729</v>
      </c>
      <c r="H227" s="291">
        <v>16594.62</v>
      </c>
      <c r="I227" s="291">
        <v>16594.62</v>
      </c>
      <c r="J227" s="291">
        <v>0</v>
      </c>
      <c r="K227" s="289" t="s">
        <v>1731</v>
      </c>
      <c r="L227" s="288" t="s">
        <v>1742</v>
      </c>
      <c r="M227" s="288" t="s">
        <v>1743</v>
      </c>
      <c r="N227" s="288" t="s">
        <v>1734</v>
      </c>
      <c r="O227" s="289" t="s">
        <v>2272</v>
      </c>
      <c r="P227" s="292"/>
    </row>
    <row r="228" spans="1:16" hidden="1" x14ac:dyDescent="0.25">
      <c r="A228" s="287" t="s">
        <v>2269</v>
      </c>
      <c r="B228" s="311" t="s">
        <v>2270</v>
      </c>
      <c r="C228" s="62"/>
      <c r="D228" s="288" t="s">
        <v>2271</v>
      </c>
      <c r="E228" s="288" t="s">
        <v>1741</v>
      </c>
      <c r="F228" s="289">
        <v>8700777754</v>
      </c>
      <c r="G228" s="290">
        <v>44964</v>
      </c>
      <c r="H228" s="291">
        <v>4131.1499999999996</v>
      </c>
      <c r="I228" s="291">
        <v>4131.1499999999996</v>
      </c>
      <c r="J228" s="291">
        <v>-4131.1499999999996</v>
      </c>
      <c r="K228" s="289" t="s">
        <v>1731</v>
      </c>
      <c r="L228" s="288" t="s">
        <v>1742</v>
      </c>
      <c r="M228" s="288" t="s">
        <v>1743</v>
      </c>
      <c r="N228" s="288" t="s">
        <v>1734</v>
      </c>
      <c r="O228" s="289" t="s">
        <v>1799</v>
      </c>
      <c r="P228" s="292"/>
    </row>
    <row r="229" spans="1:16" hidden="1" x14ac:dyDescent="0.25">
      <c r="A229" s="287" t="s">
        <v>2269</v>
      </c>
      <c r="B229" s="311" t="s">
        <v>2270</v>
      </c>
      <c r="C229" s="62"/>
      <c r="D229" s="288" t="s">
        <v>2271</v>
      </c>
      <c r="E229" s="288" t="s">
        <v>1741</v>
      </c>
      <c r="F229" s="289">
        <v>8700580672</v>
      </c>
      <c r="G229" s="290">
        <v>44698</v>
      </c>
      <c r="H229" s="291">
        <v>181.47</v>
      </c>
      <c r="I229" s="291">
        <v>181.47</v>
      </c>
      <c r="J229" s="291">
        <v>-181.47</v>
      </c>
      <c r="K229" s="289" t="s">
        <v>1731</v>
      </c>
      <c r="L229" s="288" t="s">
        <v>1742</v>
      </c>
      <c r="M229" s="288" t="s">
        <v>1743</v>
      </c>
      <c r="N229" s="288" t="s">
        <v>1734</v>
      </c>
      <c r="O229" s="289" t="s">
        <v>2272</v>
      </c>
      <c r="P229" s="292"/>
    </row>
    <row r="230" spans="1:16" hidden="1" x14ac:dyDescent="0.25">
      <c r="A230" s="287" t="s">
        <v>2269</v>
      </c>
      <c r="B230" s="311" t="s">
        <v>2270</v>
      </c>
      <c r="C230" s="62"/>
      <c r="D230" s="288" t="s">
        <v>2271</v>
      </c>
      <c r="E230" s="288" t="s">
        <v>1741</v>
      </c>
      <c r="F230" s="289">
        <v>8700432201</v>
      </c>
      <c r="G230" s="290">
        <v>44532</v>
      </c>
      <c r="H230" s="291">
        <v>340.72</v>
      </c>
      <c r="I230" s="291">
        <v>340.72</v>
      </c>
      <c r="J230" s="291">
        <v>-11.67</v>
      </c>
      <c r="K230" s="289" t="s">
        <v>1731</v>
      </c>
      <c r="L230" s="288" t="s">
        <v>1742</v>
      </c>
      <c r="M230" s="288" t="s">
        <v>1743</v>
      </c>
      <c r="N230" s="288" t="s">
        <v>1734</v>
      </c>
      <c r="O230" s="289" t="s">
        <v>806</v>
      </c>
      <c r="P230" s="292"/>
    </row>
    <row r="231" spans="1:16" hidden="1" x14ac:dyDescent="0.25">
      <c r="A231" s="287" t="s">
        <v>2269</v>
      </c>
      <c r="B231" s="311" t="s">
        <v>2270</v>
      </c>
      <c r="C231" s="62"/>
      <c r="D231" s="288" t="s">
        <v>2271</v>
      </c>
      <c r="E231" s="288" t="s">
        <v>1741</v>
      </c>
      <c r="F231" s="289"/>
      <c r="G231" s="290">
        <v>45638</v>
      </c>
      <c r="H231" s="291">
        <v>3229.85</v>
      </c>
      <c r="I231" s="291">
        <v>3229.85</v>
      </c>
      <c r="J231" s="291">
        <v>-3229.85</v>
      </c>
      <c r="K231" s="289" t="s">
        <v>1731</v>
      </c>
      <c r="L231" s="288" t="s">
        <v>1742</v>
      </c>
      <c r="M231" s="288" t="s">
        <v>1743</v>
      </c>
      <c r="N231" s="288" t="s">
        <v>1734</v>
      </c>
      <c r="O231" s="289" t="s">
        <v>1791</v>
      </c>
      <c r="P231" s="292"/>
    </row>
    <row r="232" spans="1:16" hidden="1" x14ac:dyDescent="0.25">
      <c r="A232" s="287" t="s">
        <v>2269</v>
      </c>
      <c r="B232" s="311" t="s">
        <v>2270</v>
      </c>
      <c r="C232" s="62"/>
      <c r="D232" s="288" t="s">
        <v>2271</v>
      </c>
      <c r="E232" s="288" t="s">
        <v>1741</v>
      </c>
      <c r="F232" s="289">
        <v>8700739477</v>
      </c>
      <c r="G232" s="290">
        <v>44918</v>
      </c>
      <c r="H232" s="291">
        <v>1473.52</v>
      </c>
      <c r="I232" s="291">
        <v>1473.52</v>
      </c>
      <c r="J232" s="291">
        <v>-1473.52</v>
      </c>
      <c r="K232" s="289" t="s">
        <v>1731</v>
      </c>
      <c r="L232" s="288" t="s">
        <v>1742</v>
      </c>
      <c r="M232" s="288" t="s">
        <v>1743</v>
      </c>
      <c r="N232" s="288" t="s">
        <v>1734</v>
      </c>
      <c r="O232" s="289" t="s">
        <v>2272</v>
      </c>
      <c r="P232" s="292"/>
    </row>
    <row r="233" spans="1:16" hidden="1" x14ac:dyDescent="0.25">
      <c r="A233" s="287" t="s">
        <v>2269</v>
      </c>
      <c r="B233" s="311" t="s">
        <v>2270</v>
      </c>
      <c r="C233" s="62"/>
      <c r="D233" s="288" t="s">
        <v>2271</v>
      </c>
      <c r="E233" s="288" t="s">
        <v>1741</v>
      </c>
      <c r="F233" s="289">
        <v>8700515880</v>
      </c>
      <c r="G233" s="290">
        <v>44532</v>
      </c>
      <c r="H233" s="291">
        <v>-329.05</v>
      </c>
      <c r="I233" s="291">
        <v>-329.05</v>
      </c>
      <c r="J233" s="291">
        <v>0</v>
      </c>
      <c r="K233" s="289" t="s">
        <v>1731</v>
      </c>
      <c r="L233" s="288" t="s">
        <v>1742</v>
      </c>
      <c r="M233" s="288" t="s">
        <v>1743</v>
      </c>
      <c r="N233" s="288" t="s">
        <v>1734</v>
      </c>
      <c r="O233" s="289" t="s">
        <v>806</v>
      </c>
      <c r="P233" s="292"/>
    </row>
    <row r="234" spans="1:16" hidden="1" x14ac:dyDescent="0.25">
      <c r="A234" s="287" t="s">
        <v>2273</v>
      </c>
      <c r="B234" s="311" t="s">
        <v>2274</v>
      </c>
      <c r="C234" s="62"/>
      <c r="D234" s="288" t="s">
        <v>2275</v>
      </c>
      <c r="E234" s="288" t="s">
        <v>1741</v>
      </c>
      <c r="F234" s="289"/>
      <c r="G234" s="290">
        <v>45569</v>
      </c>
      <c r="H234" s="291">
        <v>18680</v>
      </c>
      <c r="I234" s="291">
        <v>18680</v>
      </c>
      <c r="J234" s="291">
        <v>-18680</v>
      </c>
      <c r="K234" s="289" t="s">
        <v>1731</v>
      </c>
      <c r="L234" s="288" t="s">
        <v>1773</v>
      </c>
      <c r="M234" s="288" t="s">
        <v>1774</v>
      </c>
      <c r="N234" s="288" t="s">
        <v>1734</v>
      </c>
      <c r="O234" s="289" t="s">
        <v>1791</v>
      </c>
      <c r="P234" s="292"/>
    </row>
    <row r="235" spans="1:16" hidden="1" x14ac:dyDescent="0.25">
      <c r="A235" s="287" t="s">
        <v>2276</v>
      </c>
      <c r="B235" s="311" t="s">
        <v>2277</v>
      </c>
      <c r="C235" s="62"/>
      <c r="D235" s="288" t="s">
        <v>2278</v>
      </c>
      <c r="E235" s="288" t="s">
        <v>1741</v>
      </c>
      <c r="F235" s="289"/>
      <c r="G235" s="290">
        <v>45520</v>
      </c>
      <c r="H235" s="291">
        <v>53300</v>
      </c>
      <c r="I235" s="291">
        <v>53300</v>
      </c>
      <c r="J235" s="291">
        <v>-53300</v>
      </c>
      <c r="K235" s="289" t="s">
        <v>1731</v>
      </c>
      <c r="L235" s="288" t="s">
        <v>1732</v>
      </c>
      <c r="M235" s="288" t="s">
        <v>1733</v>
      </c>
      <c r="N235" s="288" t="s">
        <v>1734</v>
      </c>
      <c r="O235" s="289" t="s">
        <v>1791</v>
      </c>
      <c r="P235" s="292"/>
    </row>
    <row r="236" spans="1:16" hidden="1" x14ac:dyDescent="0.25">
      <c r="A236" s="287" t="s">
        <v>2279</v>
      </c>
      <c r="B236" s="311" t="s">
        <v>2280</v>
      </c>
      <c r="C236" s="62"/>
      <c r="D236" s="288" t="s">
        <v>2281</v>
      </c>
      <c r="E236" s="288" t="s">
        <v>2282</v>
      </c>
      <c r="F236" s="289">
        <v>8000725693</v>
      </c>
      <c r="G236" s="290">
        <v>46065</v>
      </c>
      <c r="H236" s="291">
        <v>840518.42</v>
      </c>
      <c r="I236" s="291">
        <v>490518.42</v>
      </c>
      <c r="J236" s="291">
        <v>-208095.76</v>
      </c>
      <c r="K236" s="289" t="s">
        <v>1731</v>
      </c>
      <c r="L236" s="288" t="s">
        <v>1732</v>
      </c>
      <c r="M236" s="288" t="s">
        <v>1733</v>
      </c>
      <c r="N236" s="288" t="s">
        <v>1734</v>
      </c>
      <c r="O236" s="289" t="s">
        <v>1798</v>
      </c>
      <c r="P236" s="292"/>
    </row>
    <row r="237" spans="1:16" hidden="1" x14ac:dyDescent="0.25">
      <c r="A237" s="287" t="s">
        <v>2279</v>
      </c>
      <c r="B237" s="311" t="s">
        <v>2280</v>
      </c>
      <c r="C237" s="62"/>
      <c r="D237" s="288" t="s">
        <v>2281</v>
      </c>
      <c r="E237" s="288" t="s">
        <v>2282</v>
      </c>
      <c r="F237" s="289">
        <v>8000725693</v>
      </c>
      <c r="G237" s="290">
        <v>45583</v>
      </c>
      <c r="H237" s="291">
        <v>87506.46</v>
      </c>
      <c r="I237" s="291">
        <v>87506.46</v>
      </c>
      <c r="J237" s="291">
        <v>-208095.76</v>
      </c>
      <c r="K237" s="289" t="s">
        <v>1731</v>
      </c>
      <c r="L237" s="288" t="s">
        <v>1773</v>
      </c>
      <c r="M237" s="288" t="s">
        <v>1774</v>
      </c>
      <c r="N237" s="288" t="s">
        <v>1734</v>
      </c>
      <c r="O237" s="289" t="s">
        <v>1798</v>
      </c>
      <c r="P237" s="292"/>
    </row>
    <row r="238" spans="1:16" hidden="1" x14ac:dyDescent="0.25">
      <c r="A238" s="287" t="s">
        <v>2283</v>
      </c>
      <c r="B238" s="311" t="s">
        <v>2284</v>
      </c>
      <c r="C238" s="62"/>
      <c r="D238" s="288" t="s">
        <v>2285</v>
      </c>
      <c r="E238" s="288"/>
      <c r="F238" s="289">
        <v>8701620238</v>
      </c>
      <c r="G238" s="290">
        <v>45904</v>
      </c>
      <c r="H238" s="291">
        <v>11685</v>
      </c>
      <c r="I238" s="291">
        <v>11685</v>
      </c>
      <c r="J238" s="291">
        <v>0</v>
      </c>
      <c r="K238" s="289" t="s">
        <v>1731</v>
      </c>
      <c r="L238" s="288" t="s">
        <v>1732</v>
      </c>
      <c r="M238" s="288" t="s">
        <v>1733</v>
      </c>
      <c r="N238" s="288" t="s">
        <v>1734</v>
      </c>
      <c r="O238" s="289" t="s">
        <v>2286</v>
      </c>
      <c r="P238" s="292"/>
    </row>
    <row r="239" spans="1:16" hidden="1" x14ac:dyDescent="0.25">
      <c r="A239" s="287" t="s">
        <v>2283</v>
      </c>
      <c r="B239" s="311" t="s">
        <v>2284</v>
      </c>
      <c r="C239" s="62"/>
      <c r="D239" s="288" t="s">
        <v>2285</v>
      </c>
      <c r="E239" s="288" t="s">
        <v>1741</v>
      </c>
      <c r="F239" s="289"/>
      <c r="G239" s="290">
        <v>45565</v>
      </c>
      <c r="H239" s="291">
        <v>611300.69999999995</v>
      </c>
      <c r="I239" s="291">
        <v>611300.69999999995</v>
      </c>
      <c r="J239" s="291">
        <v>0</v>
      </c>
      <c r="K239" s="289" t="s">
        <v>1731</v>
      </c>
      <c r="L239" s="288" t="s">
        <v>1732</v>
      </c>
      <c r="M239" s="288" t="s">
        <v>1733</v>
      </c>
      <c r="N239" s="288" t="s">
        <v>1734</v>
      </c>
      <c r="O239" s="289" t="s">
        <v>1791</v>
      </c>
      <c r="P239" s="292"/>
    </row>
    <row r="240" spans="1:16" hidden="1" x14ac:dyDescent="0.25">
      <c r="A240" s="287" t="s">
        <v>2287</v>
      </c>
      <c r="B240" s="311" t="s">
        <v>2288</v>
      </c>
      <c r="C240" s="62"/>
      <c r="D240" s="288" t="s">
        <v>2289</v>
      </c>
      <c r="E240" s="288" t="s">
        <v>2290</v>
      </c>
      <c r="F240" s="289">
        <v>8000725606</v>
      </c>
      <c r="G240" s="290">
        <v>45652</v>
      </c>
      <c r="H240" s="291">
        <v>1282369.8400000001</v>
      </c>
      <c r="I240" s="291">
        <v>1282369.8400000001</v>
      </c>
      <c r="J240" s="291">
        <v>0</v>
      </c>
      <c r="K240" s="289" t="s">
        <v>1731</v>
      </c>
      <c r="L240" s="288" t="s">
        <v>1732</v>
      </c>
      <c r="M240" s="288" t="s">
        <v>1733</v>
      </c>
      <c r="N240" s="288" t="s">
        <v>1734</v>
      </c>
      <c r="O240" s="289" t="s">
        <v>2257</v>
      </c>
      <c r="P240" s="292"/>
    </row>
    <row r="241" spans="1:16" hidden="1" x14ac:dyDescent="0.25">
      <c r="A241" s="287" t="s">
        <v>2287</v>
      </c>
      <c r="B241" s="311" t="s">
        <v>2288</v>
      </c>
      <c r="C241" s="62"/>
      <c r="D241" s="288" t="s">
        <v>2289</v>
      </c>
      <c r="E241" s="288" t="s">
        <v>1741</v>
      </c>
      <c r="F241" s="289"/>
      <c r="G241" s="290">
        <v>45588</v>
      </c>
      <c r="H241" s="291">
        <v>339174</v>
      </c>
      <c r="I241" s="291">
        <v>339174</v>
      </c>
      <c r="J241" s="291">
        <v>0</v>
      </c>
      <c r="K241" s="289" t="s">
        <v>1731</v>
      </c>
      <c r="L241" s="288" t="s">
        <v>1732</v>
      </c>
      <c r="M241" s="288" t="s">
        <v>1733</v>
      </c>
      <c r="N241" s="288" t="s">
        <v>1734</v>
      </c>
      <c r="O241" s="289" t="s">
        <v>1791</v>
      </c>
      <c r="P241" s="292"/>
    </row>
    <row r="242" spans="1:16" hidden="1" x14ac:dyDescent="0.25">
      <c r="A242" s="287" t="s">
        <v>2287</v>
      </c>
      <c r="B242" s="311" t="s">
        <v>2288</v>
      </c>
      <c r="C242" s="62"/>
      <c r="D242" s="288" t="s">
        <v>2289</v>
      </c>
      <c r="E242" s="288" t="s">
        <v>1741</v>
      </c>
      <c r="F242" s="289"/>
      <c r="G242" s="290">
        <v>45469</v>
      </c>
      <c r="H242" s="291">
        <v>1200</v>
      </c>
      <c r="I242" s="291">
        <v>1200</v>
      </c>
      <c r="J242" s="291">
        <v>0</v>
      </c>
      <c r="K242" s="289" t="s">
        <v>1731</v>
      </c>
      <c r="L242" s="288" t="s">
        <v>1773</v>
      </c>
      <c r="M242" s="288" t="s">
        <v>1774</v>
      </c>
      <c r="N242" s="288" t="s">
        <v>1734</v>
      </c>
      <c r="O242" s="289" t="s">
        <v>1791</v>
      </c>
      <c r="P242" s="292"/>
    </row>
    <row r="243" spans="1:16" hidden="1" x14ac:dyDescent="0.25">
      <c r="A243" s="287" t="s">
        <v>2291</v>
      </c>
      <c r="B243" s="311" t="s">
        <v>2292</v>
      </c>
      <c r="C243" s="62"/>
      <c r="D243" s="288" t="s">
        <v>2293</v>
      </c>
      <c r="E243" s="288" t="s">
        <v>2294</v>
      </c>
      <c r="F243" s="289">
        <v>8000741826</v>
      </c>
      <c r="G243" s="290">
        <v>45806</v>
      </c>
      <c r="H243" s="291">
        <v>0.01</v>
      </c>
      <c r="I243" s="291">
        <v>0.01</v>
      </c>
      <c r="J243" s="291">
        <v>0</v>
      </c>
      <c r="K243" s="289" t="s">
        <v>1731</v>
      </c>
      <c r="L243" s="288" t="s">
        <v>1732</v>
      </c>
      <c r="M243" s="288" t="s">
        <v>1733</v>
      </c>
      <c r="N243" s="288" t="s">
        <v>1734</v>
      </c>
      <c r="O243" s="289" t="s">
        <v>1782</v>
      </c>
      <c r="P243" s="292"/>
    </row>
    <row r="244" spans="1:16" hidden="1" x14ac:dyDescent="0.25">
      <c r="A244" s="287" t="s">
        <v>2295</v>
      </c>
      <c r="B244" s="311" t="s">
        <v>2296</v>
      </c>
      <c r="C244" s="62"/>
      <c r="D244" s="288" t="s">
        <v>2297</v>
      </c>
      <c r="E244" s="288" t="s">
        <v>2298</v>
      </c>
      <c r="F244" s="289">
        <v>8000725580</v>
      </c>
      <c r="G244" s="290">
        <v>45576</v>
      </c>
      <c r="H244" s="291">
        <v>1155708.22</v>
      </c>
      <c r="I244" s="291">
        <v>1155708.22</v>
      </c>
      <c r="J244" s="291">
        <v>0</v>
      </c>
      <c r="K244" s="289" t="s">
        <v>1731</v>
      </c>
      <c r="L244" s="288" t="s">
        <v>1732</v>
      </c>
      <c r="M244" s="288" t="s">
        <v>1733</v>
      </c>
      <c r="N244" s="288" t="s">
        <v>1734</v>
      </c>
      <c r="O244" s="289" t="s">
        <v>1847</v>
      </c>
      <c r="P244" s="292"/>
    </row>
    <row r="245" spans="1:16" hidden="1" x14ac:dyDescent="0.25">
      <c r="A245" s="287" t="s">
        <v>2299</v>
      </c>
      <c r="B245" s="311" t="s">
        <v>2300</v>
      </c>
      <c r="C245" s="62"/>
      <c r="D245" s="288" t="s">
        <v>2301</v>
      </c>
      <c r="E245" s="288"/>
      <c r="F245" s="289">
        <v>8701680678</v>
      </c>
      <c r="G245" s="290">
        <v>45974</v>
      </c>
      <c r="H245" s="291">
        <v>8072</v>
      </c>
      <c r="I245" s="291">
        <v>8072</v>
      </c>
      <c r="J245" s="291">
        <v>0</v>
      </c>
      <c r="K245" s="289" t="s">
        <v>1731</v>
      </c>
      <c r="L245" s="288" t="s">
        <v>1839</v>
      </c>
      <c r="M245" s="288" t="s">
        <v>1840</v>
      </c>
      <c r="N245" s="288" t="s">
        <v>1841</v>
      </c>
      <c r="O245" s="289" t="s">
        <v>1933</v>
      </c>
      <c r="P245" s="292"/>
    </row>
    <row r="246" spans="1:16" hidden="1" x14ac:dyDescent="0.25">
      <c r="A246" s="287" t="s">
        <v>2299</v>
      </c>
      <c r="B246" s="311" t="s">
        <v>2300</v>
      </c>
      <c r="C246" s="62"/>
      <c r="D246" s="288" t="s">
        <v>2301</v>
      </c>
      <c r="E246" s="288"/>
      <c r="F246" s="289">
        <v>8701751724</v>
      </c>
      <c r="G246" s="290">
        <v>46065</v>
      </c>
      <c r="H246" s="291">
        <v>0.01</v>
      </c>
      <c r="I246" s="291">
        <v>0</v>
      </c>
      <c r="J246" s="291">
        <v>0</v>
      </c>
      <c r="K246" s="289" t="s">
        <v>1731</v>
      </c>
      <c r="L246" s="288" t="s">
        <v>1732</v>
      </c>
      <c r="M246" s="288" t="s">
        <v>1733</v>
      </c>
      <c r="N246" s="288" t="s">
        <v>1734</v>
      </c>
      <c r="O246" s="289" t="s">
        <v>2302</v>
      </c>
      <c r="P246" s="292"/>
    </row>
    <row r="247" spans="1:16" hidden="1" x14ac:dyDescent="0.25">
      <c r="A247" s="287" t="s">
        <v>2299</v>
      </c>
      <c r="B247" s="311" t="s">
        <v>2300</v>
      </c>
      <c r="C247" s="62"/>
      <c r="D247" s="288" t="s">
        <v>2301</v>
      </c>
      <c r="E247" s="288"/>
      <c r="F247" s="289">
        <v>8701638473</v>
      </c>
      <c r="G247" s="290">
        <v>45925</v>
      </c>
      <c r="H247" s="291">
        <v>0.02</v>
      </c>
      <c r="I247" s="291">
        <v>0.02</v>
      </c>
      <c r="J247" s="291">
        <v>0</v>
      </c>
      <c r="K247" s="289" t="s">
        <v>1731</v>
      </c>
      <c r="L247" s="288" t="s">
        <v>1732</v>
      </c>
      <c r="M247" s="288" t="s">
        <v>1733</v>
      </c>
      <c r="N247" s="288" t="s">
        <v>1734</v>
      </c>
      <c r="O247" s="289" t="s">
        <v>2303</v>
      </c>
      <c r="P247" s="292"/>
    </row>
    <row r="248" spans="1:16" hidden="1" x14ac:dyDescent="0.25">
      <c r="A248" s="287" t="s">
        <v>2299</v>
      </c>
      <c r="B248" s="311" t="s">
        <v>2300</v>
      </c>
      <c r="C248" s="62"/>
      <c r="D248" s="288" t="s">
        <v>2301</v>
      </c>
      <c r="E248" s="288" t="s">
        <v>2304</v>
      </c>
      <c r="F248" s="289">
        <v>8000725706</v>
      </c>
      <c r="G248" s="290">
        <v>45610</v>
      </c>
      <c r="H248" s="291">
        <v>760175</v>
      </c>
      <c r="I248" s="291">
        <v>760175</v>
      </c>
      <c r="J248" s="291">
        <v>-689768.8</v>
      </c>
      <c r="K248" s="289" t="s">
        <v>1731</v>
      </c>
      <c r="L248" s="288" t="s">
        <v>1732</v>
      </c>
      <c r="M248" s="288" t="s">
        <v>1733</v>
      </c>
      <c r="N248" s="288" t="s">
        <v>1734</v>
      </c>
      <c r="O248" s="289" t="s">
        <v>2305</v>
      </c>
      <c r="P248" s="292"/>
    </row>
    <row r="249" spans="1:16" hidden="1" x14ac:dyDescent="0.25">
      <c r="A249" s="287" t="s">
        <v>2299</v>
      </c>
      <c r="B249" s="311" t="s">
        <v>2300</v>
      </c>
      <c r="C249" s="62"/>
      <c r="D249" s="288" t="s">
        <v>2301</v>
      </c>
      <c r="E249" s="288" t="s">
        <v>2306</v>
      </c>
      <c r="F249" s="289"/>
      <c r="G249" s="290">
        <v>45510</v>
      </c>
      <c r="H249" s="291">
        <v>171664</v>
      </c>
      <c r="I249" s="291">
        <v>171664</v>
      </c>
      <c r="J249" s="291">
        <v>0</v>
      </c>
      <c r="K249" s="289" t="s">
        <v>1731</v>
      </c>
      <c r="L249" s="288" t="s">
        <v>1773</v>
      </c>
      <c r="M249" s="288" t="s">
        <v>1774</v>
      </c>
      <c r="N249" s="288" t="s">
        <v>1734</v>
      </c>
      <c r="O249" s="289" t="s">
        <v>1791</v>
      </c>
      <c r="P249" s="292"/>
    </row>
    <row r="250" spans="1:16" hidden="1" x14ac:dyDescent="0.25">
      <c r="A250" s="287" t="s">
        <v>2299</v>
      </c>
      <c r="B250" s="311" t="s">
        <v>2300</v>
      </c>
      <c r="C250" s="62"/>
      <c r="D250" s="288" t="s">
        <v>2301</v>
      </c>
      <c r="E250" s="288" t="s">
        <v>1741</v>
      </c>
      <c r="F250" s="289"/>
      <c r="G250" s="290">
        <v>45574</v>
      </c>
      <c r="H250" s="291">
        <v>181468.01</v>
      </c>
      <c r="I250" s="291">
        <v>181468.01</v>
      </c>
      <c r="J250" s="291">
        <v>-32776</v>
      </c>
      <c r="K250" s="289" t="s">
        <v>1731</v>
      </c>
      <c r="L250" s="288" t="s">
        <v>1732</v>
      </c>
      <c r="M250" s="288" t="s">
        <v>1733</v>
      </c>
      <c r="N250" s="288" t="s">
        <v>1734</v>
      </c>
      <c r="O250" s="289" t="s">
        <v>1791</v>
      </c>
      <c r="P250" s="292"/>
    </row>
    <row r="251" spans="1:16" hidden="1" x14ac:dyDescent="0.25">
      <c r="A251" s="287" t="s">
        <v>2299</v>
      </c>
      <c r="B251" s="311" t="s">
        <v>2300</v>
      </c>
      <c r="C251" s="62"/>
      <c r="D251" s="288" t="s">
        <v>2301</v>
      </c>
      <c r="E251" s="288" t="s">
        <v>1741</v>
      </c>
      <c r="F251" s="289"/>
      <c r="G251" s="290">
        <v>45454</v>
      </c>
      <c r="H251" s="291">
        <v>44337</v>
      </c>
      <c r="I251" s="291">
        <v>44337</v>
      </c>
      <c r="J251" s="291">
        <v>-32776</v>
      </c>
      <c r="K251" s="289" t="s">
        <v>1731</v>
      </c>
      <c r="L251" s="288" t="s">
        <v>1773</v>
      </c>
      <c r="M251" s="288" t="s">
        <v>1774</v>
      </c>
      <c r="N251" s="288" t="s">
        <v>1734</v>
      </c>
      <c r="O251" s="289" t="s">
        <v>1791</v>
      </c>
      <c r="P251" s="292"/>
    </row>
    <row r="252" spans="1:16" hidden="1" x14ac:dyDescent="0.25">
      <c r="A252" s="287" t="s">
        <v>2307</v>
      </c>
      <c r="B252" s="311" t="s">
        <v>2308</v>
      </c>
      <c r="C252" s="62"/>
      <c r="D252" s="288" t="s">
        <v>2309</v>
      </c>
      <c r="E252" s="288" t="s">
        <v>2310</v>
      </c>
      <c r="F252" s="289">
        <v>8000777898</v>
      </c>
      <c r="G252" s="290">
        <v>46002</v>
      </c>
      <c r="H252" s="291">
        <v>219017</v>
      </c>
      <c r="I252" s="291">
        <v>219017</v>
      </c>
      <c r="J252" s="291">
        <v>0</v>
      </c>
      <c r="K252" s="289" t="s">
        <v>1731</v>
      </c>
      <c r="L252" s="288" t="s">
        <v>1773</v>
      </c>
      <c r="M252" s="288" t="s">
        <v>1774</v>
      </c>
      <c r="N252" s="288" t="s">
        <v>1734</v>
      </c>
      <c r="O252" s="289" t="s">
        <v>1892</v>
      </c>
      <c r="P252" s="292"/>
    </row>
    <row r="253" spans="1:16" hidden="1" x14ac:dyDescent="0.25">
      <c r="A253" s="287" t="s">
        <v>2311</v>
      </c>
      <c r="B253" s="311" t="s">
        <v>2312</v>
      </c>
      <c r="C253" s="62"/>
      <c r="D253" s="288" t="s">
        <v>2313</v>
      </c>
      <c r="E253" s="288" t="s">
        <v>2314</v>
      </c>
      <c r="F253" s="289"/>
      <c r="G253" s="290">
        <v>45572</v>
      </c>
      <c r="H253" s="291">
        <v>7206</v>
      </c>
      <c r="I253" s="291">
        <v>7206</v>
      </c>
      <c r="J253" s="291">
        <v>0</v>
      </c>
      <c r="K253" s="289" t="s">
        <v>1731</v>
      </c>
      <c r="L253" s="288" t="s">
        <v>1732</v>
      </c>
      <c r="M253" s="288" t="s">
        <v>1733</v>
      </c>
      <c r="N253" s="288" t="s">
        <v>1734</v>
      </c>
      <c r="O253" s="289" t="s">
        <v>1791</v>
      </c>
      <c r="P253" s="292"/>
    </row>
    <row r="254" spans="1:16" hidden="1" x14ac:dyDescent="0.25">
      <c r="A254" s="287" t="s">
        <v>2315</v>
      </c>
      <c r="B254" s="311" t="s">
        <v>2316</v>
      </c>
      <c r="C254" s="62"/>
      <c r="D254" s="288" t="s">
        <v>2317</v>
      </c>
      <c r="E254" s="288" t="s">
        <v>2318</v>
      </c>
      <c r="F254" s="289">
        <v>8000725695</v>
      </c>
      <c r="G254" s="290">
        <v>45635</v>
      </c>
      <c r="H254" s="291">
        <v>1176616.98</v>
      </c>
      <c r="I254" s="291">
        <v>1176616.98</v>
      </c>
      <c r="J254" s="291">
        <v>-1176616.98</v>
      </c>
      <c r="K254" s="289" t="s">
        <v>1731</v>
      </c>
      <c r="L254" s="288" t="s">
        <v>1732</v>
      </c>
      <c r="M254" s="288" t="s">
        <v>1733</v>
      </c>
      <c r="N254" s="288" t="s">
        <v>1734</v>
      </c>
      <c r="O254" s="289" t="s">
        <v>1847</v>
      </c>
      <c r="P254" s="292"/>
    </row>
    <row r="255" spans="1:16" hidden="1" x14ac:dyDescent="0.25">
      <c r="A255" s="287" t="s">
        <v>2319</v>
      </c>
      <c r="B255" s="311" t="s">
        <v>2320</v>
      </c>
      <c r="C255" s="62"/>
      <c r="D255" s="288" t="s">
        <v>2321</v>
      </c>
      <c r="E255" s="288" t="s">
        <v>2322</v>
      </c>
      <c r="F255" s="289"/>
      <c r="G255" s="290">
        <v>45476</v>
      </c>
      <c r="H255" s="291">
        <v>20000</v>
      </c>
      <c r="I255" s="291">
        <v>20000</v>
      </c>
      <c r="J255" s="291">
        <v>-20000</v>
      </c>
      <c r="K255" s="289" t="s">
        <v>1731</v>
      </c>
      <c r="L255" s="288" t="s">
        <v>1773</v>
      </c>
      <c r="M255" s="288" t="s">
        <v>1774</v>
      </c>
      <c r="N255" s="288" t="s">
        <v>1734</v>
      </c>
      <c r="O255" s="289" t="s">
        <v>1791</v>
      </c>
      <c r="P255" s="292"/>
    </row>
    <row r="256" spans="1:16" hidden="1" x14ac:dyDescent="0.25">
      <c r="A256" s="287" t="s">
        <v>2323</v>
      </c>
      <c r="B256" s="311" t="s">
        <v>2324</v>
      </c>
      <c r="C256" s="62"/>
      <c r="D256" s="288" t="s">
        <v>2325</v>
      </c>
      <c r="E256" s="288" t="s">
        <v>2326</v>
      </c>
      <c r="F256" s="289">
        <v>8000738226</v>
      </c>
      <c r="G256" s="290">
        <v>46051</v>
      </c>
      <c r="H256" s="291">
        <v>10932.26</v>
      </c>
      <c r="I256" s="291">
        <v>10932.26</v>
      </c>
      <c r="J256" s="291">
        <v>0</v>
      </c>
      <c r="K256" s="289" t="s">
        <v>1731</v>
      </c>
      <c r="L256" s="288" t="s">
        <v>1773</v>
      </c>
      <c r="M256" s="288" t="s">
        <v>1774</v>
      </c>
      <c r="N256" s="288" t="s">
        <v>1734</v>
      </c>
      <c r="O256" s="289" t="s">
        <v>2327</v>
      </c>
      <c r="P256" s="292"/>
    </row>
    <row r="257" spans="1:16" hidden="1" x14ac:dyDescent="0.25">
      <c r="A257" s="287" t="s">
        <v>2328</v>
      </c>
      <c r="B257" s="311" t="s">
        <v>2329</v>
      </c>
      <c r="C257" s="62"/>
      <c r="D257" s="288" t="s">
        <v>2330</v>
      </c>
      <c r="E257" s="288" t="s">
        <v>1741</v>
      </c>
      <c r="F257" s="289"/>
      <c r="G257" s="290">
        <v>45510</v>
      </c>
      <c r="H257" s="291">
        <v>5132</v>
      </c>
      <c r="I257" s="291">
        <v>5132</v>
      </c>
      <c r="J257" s="291">
        <v>0</v>
      </c>
      <c r="K257" s="289" t="s">
        <v>1731</v>
      </c>
      <c r="L257" s="288" t="s">
        <v>1742</v>
      </c>
      <c r="M257" s="288" t="s">
        <v>1743</v>
      </c>
      <c r="N257" s="288" t="s">
        <v>1734</v>
      </c>
      <c r="O257" s="289" t="s">
        <v>1791</v>
      </c>
      <c r="P257" s="292"/>
    </row>
    <row r="258" spans="1:16" hidden="1" x14ac:dyDescent="0.25">
      <c r="A258" s="287" t="s">
        <v>2331</v>
      </c>
      <c r="B258" s="311" t="s">
        <v>2332</v>
      </c>
      <c r="C258" s="62"/>
      <c r="D258" s="288" t="s">
        <v>2333</v>
      </c>
      <c r="E258" s="288" t="s">
        <v>2334</v>
      </c>
      <c r="F258" s="289">
        <v>8000419048</v>
      </c>
      <c r="G258" s="290">
        <v>44588</v>
      </c>
      <c r="H258" s="291">
        <v>0.01</v>
      </c>
      <c r="I258" s="291">
        <v>0.01</v>
      </c>
      <c r="J258" s="291">
        <v>-0.01</v>
      </c>
      <c r="K258" s="289" t="s">
        <v>1731</v>
      </c>
      <c r="L258" s="288" t="s">
        <v>1732</v>
      </c>
      <c r="M258" s="288" t="s">
        <v>1733</v>
      </c>
      <c r="N258" s="288" t="s">
        <v>1734</v>
      </c>
      <c r="O258" s="289" t="s">
        <v>1925</v>
      </c>
      <c r="P258" s="292"/>
    </row>
    <row r="259" spans="1:16" hidden="1" x14ac:dyDescent="0.25">
      <c r="A259" s="287" t="s">
        <v>2335</v>
      </c>
      <c r="B259" s="311" t="s">
        <v>2336</v>
      </c>
      <c r="C259" s="62"/>
      <c r="D259" s="288" t="s">
        <v>2337</v>
      </c>
      <c r="E259" s="288" t="s">
        <v>1741</v>
      </c>
      <c r="F259" s="289">
        <v>8701693995</v>
      </c>
      <c r="G259" s="290">
        <v>45995</v>
      </c>
      <c r="H259" s="291">
        <v>58000</v>
      </c>
      <c r="I259" s="291">
        <v>0</v>
      </c>
      <c r="J259" s="291">
        <v>0</v>
      </c>
      <c r="K259" s="289" t="s">
        <v>1731</v>
      </c>
      <c r="L259" s="288" t="s">
        <v>1732</v>
      </c>
      <c r="M259" s="288" t="s">
        <v>1733</v>
      </c>
      <c r="N259" s="288" t="s">
        <v>1734</v>
      </c>
      <c r="O259" s="289" t="s">
        <v>2338</v>
      </c>
      <c r="P259" s="292"/>
    </row>
    <row r="260" spans="1:16" hidden="1" x14ac:dyDescent="0.25">
      <c r="A260" s="287" t="s">
        <v>2339</v>
      </c>
      <c r="B260" s="311" t="s">
        <v>2340</v>
      </c>
      <c r="C260" s="62"/>
      <c r="D260" s="288" t="s">
        <v>2341</v>
      </c>
      <c r="E260" s="288" t="s">
        <v>1741</v>
      </c>
      <c r="F260" s="289"/>
      <c r="G260" s="290">
        <v>45540</v>
      </c>
      <c r="H260" s="291">
        <v>6400</v>
      </c>
      <c r="I260" s="291">
        <v>6400</v>
      </c>
      <c r="J260" s="291">
        <v>-6400</v>
      </c>
      <c r="K260" s="289" t="s">
        <v>1731</v>
      </c>
      <c r="L260" s="288" t="s">
        <v>1732</v>
      </c>
      <c r="M260" s="288" t="s">
        <v>1733</v>
      </c>
      <c r="N260" s="288" t="s">
        <v>1734</v>
      </c>
      <c r="O260" s="289" t="s">
        <v>1791</v>
      </c>
      <c r="P260" s="292"/>
    </row>
    <row r="261" spans="1:16" hidden="1" x14ac:dyDescent="0.25">
      <c r="A261" s="287" t="s">
        <v>2342</v>
      </c>
      <c r="B261" s="311" t="s">
        <v>2343</v>
      </c>
      <c r="C261" s="62"/>
      <c r="D261" s="288" t="s">
        <v>2344</v>
      </c>
      <c r="E261" s="288" t="s">
        <v>2345</v>
      </c>
      <c r="F261" s="289">
        <v>8000725666</v>
      </c>
      <c r="G261" s="290">
        <v>45678</v>
      </c>
      <c r="H261" s="291">
        <v>1600.17</v>
      </c>
      <c r="I261" s="291">
        <v>1600.17</v>
      </c>
      <c r="J261" s="291">
        <v>-1600.17</v>
      </c>
      <c r="K261" s="289" t="s">
        <v>1731</v>
      </c>
      <c r="L261" s="288" t="s">
        <v>1732</v>
      </c>
      <c r="M261" s="288" t="s">
        <v>1733</v>
      </c>
      <c r="N261" s="288" t="s">
        <v>1734</v>
      </c>
      <c r="O261" s="289" t="s">
        <v>1879</v>
      </c>
      <c r="P261" s="292"/>
    </row>
    <row r="262" spans="1:16" hidden="1" x14ac:dyDescent="0.25">
      <c r="A262" s="287" t="s">
        <v>2346</v>
      </c>
      <c r="B262" s="311" t="s">
        <v>2347</v>
      </c>
      <c r="C262" s="62"/>
      <c r="D262" s="288" t="s">
        <v>2348</v>
      </c>
      <c r="E262" s="288" t="s">
        <v>2349</v>
      </c>
      <c r="F262" s="289">
        <v>8000773724</v>
      </c>
      <c r="G262" s="290">
        <v>46079</v>
      </c>
      <c r="H262" s="291">
        <v>2534000</v>
      </c>
      <c r="I262" s="291">
        <v>2534000</v>
      </c>
      <c r="J262" s="291">
        <v>0</v>
      </c>
      <c r="K262" s="289" t="s">
        <v>1731</v>
      </c>
      <c r="L262" s="288" t="s">
        <v>1773</v>
      </c>
      <c r="M262" s="288" t="s">
        <v>1774</v>
      </c>
      <c r="N262" s="288" t="s">
        <v>1734</v>
      </c>
      <c r="O262" s="289" t="s">
        <v>2350</v>
      </c>
      <c r="P262" s="292"/>
    </row>
    <row r="263" spans="1:16" hidden="1" x14ac:dyDescent="0.25">
      <c r="A263" s="287" t="s">
        <v>2351</v>
      </c>
      <c r="B263" s="311" t="s">
        <v>2352</v>
      </c>
      <c r="C263" s="62"/>
      <c r="D263" s="288" t="s">
        <v>2353</v>
      </c>
      <c r="E263" s="288" t="s">
        <v>1741</v>
      </c>
      <c r="F263" s="289"/>
      <c r="G263" s="290">
        <v>45405</v>
      </c>
      <c r="H263" s="291">
        <v>11500</v>
      </c>
      <c r="I263" s="291">
        <v>11500</v>
      </c>
      <c r="J263" s="291">
        <v>-11500</v>
      </c>
      <c r="K263" s="289" t="s">
        <v>1731</v>
      </c>
      <c r="L263" s="288" t="s">
        <v>1773</v>
      </c>
      <c r="M263" s="288" t="s">
        <v>1774</v>
      </c>
      <c r="N263" s="288" t="s">
        <v>1734</v>
      </c>
      <c r="O263" s="289" t="s">
        <v>1791</v>
      </c>
      <c r="P263" s="292"/>
    </row>
    <row r="264" spans="1:16" hidden="1" x14ac:dyDescent="0.25">
      <c r="A264" s="287" t="s">
        <v>2354</v>
      </c>
      <c r="B264" s="311" t="s">
        <v>2355</v>
      </c>
      <c r="C264" s="62"/>
      <c r="D264" s="288" t="s">
        <v>2356</v>
      </c>
      <c r="E264" s="288"/>
      <c r="F264" s="289"/>
      <c r="G264" s="290">
        <v>45744</v>
      </c>
      <c r="H264" s="291">
        <v>3955</v>
      </c>
      <c r="I264" s="291">
        <v>3955</v>
      </c>
      <c r="J264" s="291">
        <v>-1200</v>
      </c>
      <c r="K264" s="289" t="s">
        <v>1731</v>
      </c>
      <c r="L264" s="288" t="s">
        <v>1773</v>
      </c>
      <c r="M264" s="288" t="s">
        <v>1774</v>
      </c>
      <c r="N264" s="288" t="s">
        <v>1734</v>
      </c>
      <c r="O264" s="289" t="s">
        <v>1791</v>
      </c>
      <c r="P264" s="292"/>
    </row>
    <row r="265" spans="1:16" hidden="1" x14ac:dyDescent="0.25">
      <c r="A265" s="287" t="s">
        <v>2357</v>
      </c>
      <c r="B265" s="311" t="s">
        <v>2358</v>
      </c>
      <c r="C265" s="62"/>
      <c r="D265" s="288" t="s">
        <v>2359</v>
      </c>
      <c r="E265" s="288"/>
      <c r="F265" s="289"/>
      <c r="G265" s="290">
        <v>45603</v>
      </c>
      <c r="H265" s="291">
        <v>4800</v>
      </c>
      <c r="I265" s="291">
        <v>4800</v>
      </c>
      <c r="J265" s="291">
        <v>-4800</v>
      </c>
      <c r="K265" s="289" t="s">
        <v>1731</v>
      </c>
      <c r="L265" s="288" t="s">
        <v>1732</v>
      </c>
      <c r="M265" s="288" t="s">
        <v>1733</v>
      </c>
      <c r="N265" s="288" t="s">
        <v>1734</v>
      </c>
      <c r="O265" s="289" t="s">
        <v>1791</v>
      </c>
      <c r="P265" s="292"/>
    </row>
    <row r="266" spans="1:16" hidden="1" x14ac:dyDescent="0.25">
      <c r="A266" s="287" t="s">
        <v>2357</v>
      </c>
      <c r="B266" s="311" t="s">
        <v>2358</v>
      </c>
      <c r="C266" s="62"/>
      <c r="D266" s="288" t="s">
        <v>2359</v>
      </c>
      <c r="E266" s="288" t="s">
        <v>2360</v>
      </c>
      <c r="F266" s="289"/>
      <c r="G266" s="290">
        <v>45593</v>
      </c>
      <c r="H266" s="291">
        <v>42599</v>
      </c>
      <c r="I266" s="291">
        <v>42599</v>
      </c>
      <c r="J266" s="291">
        <v>-42599</v>
      </c>
      <c r="K266" s="289" t="s">
        <v>1731</v>
      </c>
      <c r="L266" s="288" t="s">
        <v>1732</v>
      </c>
      <c r="M266" s="288" t="s">
        <v>1733</v>
      </c>
      <c r="N266" s="288" t="s">
        <v>1734</v>
      </c>
      <c r="O266" s="289" t="s">
        <v>1791</v>
      </c>
      <c r="P266" s="292"/>
    </row>
    <row r="267" spans="1:16" ht="26.25" hidden="1" x14ac:dyDescent="0.25">
      <c r="A267" s="287" t="s">
        <v>2361</v>
      </c>
      <c r="B267" s="311" t="s">
        <v>2362</v>
      </c>
      <c r="C267" s="62"/>
      <c r="D267" s="288" t="s">
        <v>2363</v>
      </c>
      <c r="E267" s="288" t="s">
        <v>2364</v>
      </c>
      <c r="F267" s="289">
        <v>8000674588</v>
      </c>
      <c r="G267" s="290">
        <v>45945</v>
      </c>
      <c r="H267" s="291">
        <v>1650000</v>
      </c>
      <c r="I267" s="291">
        <v>1650000</v>
      </c>
      <c r="J267" s="291">
        <v>0</v>
      </c>
      <c r="K267" s="289" t="s">
        <v>1731</v>
      </c>
      <c r="L267" s="288" t="s">
        <v>1773</v>
      </c>
      <c r="M267" s="288" t="s">
        <v>1774</v>
      </c>
      <c r="N267" s="288" t="s">
        <v>1734</v>
      </c>
      <c r="O267" s="289" t="s">
        <v>1768</v>
      </c>
      <c r="P267" s="292"/>
    </row>
    <row r="268" spans="1:16" hidden="1" x14ac:dyDescent="0.25">
      <c r="A268" s="287" t="s">
        <v>2365</v>
      </c>
      <c r="B268" s="311" t="s">
        <v>2366</v>
      </c>
      <c r="C268" s="62"/>
      <c r="D268" s="288" t="s">
        <v>2367</v>
      </c>
      <c r="E268" s="288" t="s">
        <v>1741</v>
      </c>
      <c r="F268" s="289"/>
      <c r="G268" s="290">
        <v>45523</v>
      </c>
      <c r="H268" s="291">
        <v>855000</v>
      </c>
      <c r="I268" s="291">
        <v>855000</v>
      </c>
      <c r="J268" s="291">
        <v>-635000</v>
      </c>
      <c r="K268" s="289" t="s">
        <v>1731</v>
      </c>
      <c r="L268" s="288" t="s">
        <v>1732</v>
      </c>
      <c r="M268" s="288" t="s">
        <v>1733</v>
      </c>
      <c r="N268" s="288" t="s">
        <v>1734</v>
      </c>
      <c r="O268" s="289" t="s">
        <v>1791</v>
      </c>
      <c r="P268" s="292"/>
    </row>
    <row r="269" spans="1:16" hidden="1" x14ac:dyDescent="0.25">
      <c r="A269" s="287" t="s">
        <v>2368</v>
      </c>
      <c r="B269" s="311" t="s">
        <v>2369</v>
      </c>
      <c r="C269" s="62"/>
      <c r="D269" s="288" t="s">
        <v>2370</v>
      </c>
      <c r="E269" s="288" t="s">
        <v>1741</v>
      </c>
      <c r="F269" s="289"/>
      <c r="G269" s="290">
        <v>45491</v>
      </c>
      <c r="H269" s="291">
        <v>20500</v>
      </c>
      <c r="I269" s="291">
        <v>20500</v>
      </c>
      <c r="J269" s="291">
        <v>0</v>
      </c>
      <c r="K269" s="289" t="s">
        <v>1731</v>
      </c>
      <c r="L269" s="288" t="s">
        <v>1732</v>
      </c>
      <c r="M269" s="288" t="s">
        <v>1733</v>
      </c>
      <c r="N269" s="288" t="s">
        <v>1734</v>
      </c>
      <c r="O269" s="289" t="s">
        <v>1791</v>
      </c>
      <c r="P269" s="292"/>
    </row>
    <row r="270" spans="1:16" hidden="1" x14ac:dyDescent="0.25">
      <c r="A270" s="287" t="s">
        <v>2371</v>
      </c>
      <c r="B270" s="311" t="s">
        <v>2372</v>
      </c>
      <c r="C270" s="62"/>
      <c r="D270" s="288" t="s">
        <v>2373</v>
      </c>
      <c r="E270" s="288"/>
      <c r="F270" s="289">
        <v>8701629130</v>
      </c>
      <c r="G270" s="290">
        <v>45911</v>
      </c>
      <c r="H270" s="291">
        <v>1200</v>
      </c>
      <c r="I270" s="291">
        <v>1200</v>
      </c>
      <c r="J270" s="291">
        <v>0</v>
      </c>
      <c r="K270" s="289" t="s">
        <v>1731</v>
      </c>
      <c r="L270" s="288" t="s">
        <v>1732</v>
      </c>
      <c r="M270" s="288" t="s">
        <v>1733</v>
      </c>
      <c r="N270" s="288" t="s">
        <v>1734</v>
      </c>
      <c r="O270" s="289" t="s">
        <v>2286</v>
      </c>
      <c r="P270" s="292"/>
    </row>
    <row r="271" spans="1:16" hidden="1" x14ac:dyDescent="0.25">
      <c r="A271" s="287" t="s">
        <v>2374</v>
      </c>
      <c r="B271" s="311" t="s">
        <v>2375</v>
      </c>
      <c r="C271" s="62"/>
      <c r="D271" s="288" t="s">
        <v>2376</v>
      </c>
      <c r="E271" s="288" t="s">
        <v>1741</v>
      </c>
      <c r="F271" s="289"/>
      <c r="G271" s="290">
        <v>45538</v>
      </c>
      <c r="H271" s="291">
        <v>63317.88</v>
      </c>
      <c r="I271" s="291">
        <v>63317.88</v>
      </c>
      <c r="J271" s="291">
        <v>-48436.480000000003</v>
      </c>
      <c r="K271" s="289" t="s">
        <v>1731</v>
      </c>
      <c r="L271" s="288" t="s">
        <v>1732</v>
      </c>
      <c r="M271" s="288" t="s">
        <v>1733</v>
      </c>
      <c r="N271" s="288" t="s">
        <v>1734</v>
      </c>
      <c r="O271" s="289" t="s">
        <v>1791</v>
      </c>
      <c r="P271" s="292"/>
    </row>
    <row r="272" spans="1:16" s="364" customFormat="1" ht="375" x14ac:dyDescent="0.25">
      <c r="A272" s="367" t="s">
        <v>2377</v>
      </c>
      <c r="B272" s="366" t="s">
        <v>171</v>
      </c>
      <c r="C272" s="368" t="s">
        <v>4458</v>
      </c>
      <c r="D272" s="366" t="s">
        <v>2378</v>
      </c>
      <c r="E272" s="366" t="s">
        <v>80</v>
      </c>
      <c r="F272" s="369">
        <v>8000568413</v>
      </c>
      <c r="G272" s="370">
        <v>45419</v>
      </c>
      <c r="H272" s="371">
        <v>13501806.59</v>
      </c>
      <c r="I272" s="371">
        <v>13501806.59</v>
      </c>
      <c r="J272" s="371">
        <v>-13501806.59</v>
      </c>
      <c r="K272" s="369" t="s">
        <v>1731</v>
      </c>
      <c r="L272" s="366" t="s">
        <v>1773</v>
      </c>
      <c r="M272" s="366" t="s">
        <v>1774</v>
      </c>
      <c r="N272" s="366" t="s">
        <v>1734</v>
      </c>
      <c r="O272" s="369" t="s">
        <v>2379</v>
      </c>
      <c r="P272" s="372"/>
    </row>
    <row r="273" spans="1:16" hidden="1" x14ac:dyDescent="0.25">
      <c r="A273" s="287" t="s">
        <v>2380</v>
      </c>
      <c r="B273" s="311" t="s">
        <v>2381</v>
      </c>
      <c r="C273" s="62"/>
      <c r="D273" s="288" t="s">
        <v>2382</v>
      </c>
      <c r="E273" s="288" t="s">
        <v>2033</v>
      </c>
      <c r="F273" s="289">
        <v>8701407460</v>
      </c>
      <c r="G273" s="290">
        <v>45701</v>
      </c>
      <c r="H273" s="291">
        <v>21132.2</v>
      </c>
      <c r="I273" s="291">
        <v>21132.2</v>
      </c>
      <c r="J273" s="291">
        <v>0</v>
      </c>
      <c r="K273" s="289" t="s">
        <v>1731</v>
      </c>
      <c r="L273" s="288" t="s">
        <v>1732</v>
      </c>
      <c r="M273" s="288" t="s">
        <v>1733</v>
      </c>
      <c r="N273" s="288" t="s">
        <v>1734</v>
      </c>
      <c r="O273" s="289" t="s">
        <v>2383</v>
      </c>
      <c r="P273" s="292"/>
    </row>
    <row r="274" spans="1:16" hidden="1" x14ac:dyDescent="0.25">
      <c r="A274" s="287" t="s">
        <v>2380</v>
      </c>
      <c r="B274" s="311" t="s">
        <v>2381</v>
      </c>
      <c r="C274" s="62"/>
      <c r="D274" s="288" t="s">
        <v>2382</v>
      </c>
      <c r="E274" s="288" t="s">
        <v>2033</v>
      </c>
      <c r="F274" s="289">
        <v>8701427097</v>
      </c>
      <c r="G274" s="290">
        <v>45715</v>
      </c>
      <c r="H274" s="291">
        <v>99685.1</v>
      </c>
      <c r="I274" s="291">
        <v>99685.1</v>
      </c>
      <c r="J274" s="291">
        <v>0</v>
      </c>
      <c r="K274" s="289" t="s">
        <v>1731</v>
      </c>
      <c r="L274" s="288" t="s">
        <v>1732</v>
      </c>
      <c r="M274" s="288" t="s">
        <v>1733</v>
      </c>
      <c r="N274" s="288" t="s">
        <v>1734</v>
      </c>
      <c r="O274" s="289" t="s">
        <v>2383</v>
      </c>
      <c r="P274" s="292"/>
    </row>
    <row r="275" spans="1:16" hidden="1" x14ac:dyDescent="0.25">
      <c r="A275" s="287" t="s">
        <v>2380</v>
      </c>
      <c r="B275" s="311" t="s">
        <v>2381</v>
      </c>
      <c r="C275" s="62"/>
      <c r="D275" s="288" t="s">
        <v>2382</v>
      </c>
      <c r="E275" s="288" t="s">
        <v>2033</v>
      </c>
      <c r="F275" s="289">
        <v>8701331317</v>
      </c>
      <c r="G275" s="290">
        <v>45617</v>
      </c>
      <c r="H275" s="291">
        <v>99027.13</v>
      </c>
      <c r="I275" s="291">
        <v>99027.13</v>
      </c>
      <c r="J275" s="291">
        <v>0</v>
      </c>
      <c r="K275" s="289" t="s">
        <v>1731</v>
      </c>
      <c r="L275" s="288" t="s">
        <v>1732</v>
      </c>
      <c r="M275" s="288" t="s">
        <v>1733</v>
      </c>
      <c r="N275" s="288" t="s">
        <v>1734</v>
      </c>
      <c r="O275" s="289" t="s">
        <v>2383</v>
      </c>
      <c r="P275" s="292"/>
    </row>
    <row r="276" spans="1:16" hidden="1" x14ac:dyDescent="0.25">
      <c r="A276" s="287" t="s">
        <v>2380</v>
      </c>
      <c r="B276" s="311" t="s">
        <v>2381</v>
      </c>
      <c r="C276" s="62"/>
      <c r="D276" s="288" t="s">
        <v>2382</v>
      </c>
      <c r="E276" s="288" t="s">
        <v>2033</v>
      </c>
      <c r="F276" s="289">
        <v>8701385370</v>
      </c>
      <c r="G276" s="290">
        <v>45653</v>
      </c>
      <c r="H276" s="291">
        <v>95462.33</v>
      </c>
      <c r="I276" s="291">
        <v>95462.33</v>
      </c>
      <c r="J276" s="291">
        <v>0</v>
      </c>
      <c r="K276" s="289" t="s">
        <v>1731</v>
      </c>
      <c r="L276" s="288" t="s">
        <v>1732</v>
      </c>
      <c r="M276" s="288" t="s">
        <v>1733</v>
      </c>
      <c r="N276" s="288" t="s">
        <v>1734</v>
      </c>
      <c r="O276" s="289" t="s">
        <v>2383</v>
      </c>
      <c r="P276" s="292"/>
    </row>
    <row r="277" spans="1:16" hidden="1" x14ac:dyDescent="0.25">
      <c r="A277" s="287" t="s">
        <v>2384</v>
      </c>
      <c r="B277" s="311" t="s">
        <v>2385</v>
      </c>
      <c r="C277" s="62"/>
      <c r="D277" s="288" t="s">
        <v>2386</v>
      </c>
      <c r="E277" s="288" t="s">
        <v>1741</v>
      </c>
      <c r="F277" s="289">
        <v>8701742445</v>
      </c>
      <c r="G277" s="290">
        <v>46044</v>
      </c>
      <c r="H277" s="291">
        <v>69492</v>
      </c>
      <c r="I277" s="291">
        <v>69492</v>
      </c>
      <c r="J277" s="291">
        <v>0</v>
      </c>
      <c r="K277" s="289" t="s">
        <v>1731</v>
      </c>
      <c r="L277" s="288" t="s">
        <v>1732</v>
      </c>
      <c r="M277" s="288" t="s">
        <v>1733</v>
      </c>
      <c r="N277" s="288" t="s">
        <v>1734</v>
      </c>
      <c r="O277" s="289" t="s">
        <v>1874</v>
      </c>
      <c r="P277" s="292"/>
    </row>
    <row r="278" spans="1:16" hidden="1" x14ac:dyDescent="0.25">
      <c r="A278" s="287" t="s">
        <v>2387</v>
      </c>
      <c r="B278" s="311" t="s">
        <v>2388</v>
      </c>
      <c r="C278" s="62"/>
      <c r="D278" s="288" t="s">
        <v>2389</v>
      </c>
      <c r="E278" s="288" t="s">
        <v>2390</v>
      </c>
      <c r="F278" s="289"/>
      <c r="G278" s="290">
        <v>45540</v>
      </c>
      <c r="H278" s="291">
        <v>132597.6</v>
      </c>
      <c r="I278" s="291">
        <v>132597.6</v>
      </c>
      <c r="J278" s="291">
        <v>-132597.6</v>
      </c>
      <c r="K278" s="289" t="s">
        <v>1731</v>
      </c>
      <c r="L278" s="288" t="s">
        <v>1732</v>
      </c>
      <c r="M278" s="288" t="s">
        <v>1733</v>
      </c>
      <c r="N278" s="288" t="s">
        <v>1734</v>
      </c>
      <c r="O278" s="289" t="s">
        <v>1791</v>
      </c>
      <c r="P278" s="292"/>
    </row>
    <row r="279" spans="1:16" hidden="1" x14ac:dyDescent="0.25">
      <c r="A279" s="287" t="s">
        <v>2391</v>
      </c>
      <c r="B279" s="311" t="s">
        <v>2392</v>
      </c>
      <c r="C279" s="62"/>
      <c r="D279" s="288" t="s">
        <v>2393</v>
      </c>
      <c r="E279" s="288"/>
      <c r="F279" s="289"/>
      <c r="G279" s="290">
        <v>45650</v>
      </c>
      <c r="H279" s="291">
        <v>5000</v>
      </c>
      <c r="I279" s="291">
        <v>5000</v>
      </c>
      <c r="J279" s="291">
        <v>-5000</v>
      </c>
      <c r="K279" s="289" t="s">
        <v>1731</v>
      </c>
      <c r="L279" s="288" t="s">
        <v>1773</v>
      </c>
      <c r="M279" s="288" t="s">
        <v>1774</v>
      </c>
      <c r="N279" s="288" t="s">
        <v>1734</v>
      </c>
      <c r="O279" s="289" t="s">
        <v>1791</v>
      </c>
      <c r="P279" s="292"/>
    </row>
    <row r="280" spans="1:16" hidden="1" x14ac:dyDescent="0.25">
      <c r="A280" s="287" t="s">
        <v>2394</v>
      </c>
      <c r="B280" s="311" t="s">
        <v>2395</v>
      </c>
      <c r="C280" s="62"/>
      <c r="D280" s="288" t="s">
        <v>2396</v>
      </c>
      <c r="E280" s="288" t="s">
        <v>2397</v>
      </c>
      <c r="F280" s="289">
        <v>8000725979</v>
      </c>
      <c r="G280" s="290">
        <v>45653</v>
      </c>
      <c r="H280" s="291">
        <v>215352.5</v>
      </c>
      <c r="I280" s="291">
        <v>215352.5</v>
      </c>
      <c r="J280" s="291">
        <v>-215352.5</v>
      </c>
      <c r="K280" s="289" t="s">
        <v>1731</v>
      </c>
      <c r="L280" s="288" t="s">
        <v>1732</v>
      </c>
      <c r="M280" s="288" t="s">
        <v>1733</v>
      </c>
      <c r="N280" s="288" t="s">
        <v>1734</v>
      </c>
      <c r="O280" s="289" t="s">
        <v>1879</v>
      </c>
      <c r="P280" s="292"/>
    </row>
    <row r="281" spans="1:16" ht="26.25" hidden="1" x14ac:dyDescent="0.25">
      <c r="A281" s="287" t="s">
        <v>2398</v>
      </c>
      <c r="B281" s="311" t="s">
        <v>2399</v>
      </c>
      <c r="C281" s="62"/>
      <c r="D281" s="288" t="s">
        <v>2400</v>
      </c>
      <c r="E281" s="288"/>
      <c r="F281" s="289">
        <v>8701480790</v>
      </c>
      <c r="G281" s="290">
        <v>45583</v>
      </c>
      <c r="H281" s="291">
        <v>254676</v>
      </c>
      <c r="I281" s="291">
        <v>254676</v>
      </c>
      <c r="J281" s="291">
        <v>0</v>
      </c>
      <c r="K281" s="289" t="s">
        <v>1731</v>
      </c>
      <c r="L281" s="288" t="s">
        <v>1732</v>
      </c>
      <c r="M281" s="288" t="s">
        <v>1733</v>
      </c>
      <c r="N281" s="288" t="s">
        <v>1734</v>
      </c>
      <c r="O281" s="289" t="s">
        <v>1918</v>
      </c>
      <c r="P281" s="292"/>
    </row>
    <row r="282" spans="1:16" ht="26.25" hidden="1" x14ac:dyDescent="0.25">
      <c r="A282" s="287" t="s">
        <v>2398</v>
      </c>
      <c r="B282" s="311" t="s">
        <v>2399</v>
      </c>
      <c r="C282" s="62"/>
      <c r="D282" s="288" t="s">
        <v>2400</v>
      </c>
      <c r="E282" s="288"/>
      <c r="F282" s="289"/>
      <c r="G282" s="290">
        <v>45623</v>
      </c>
      <c r="H282" s="291">
        <v>87510.02</v>
      </c>
      <c r="I282" s="291">
        <v>87510.02</v>
      </c>
      <c r="J282" s="291">
        <v>0</v>
      </c>
      <c r="K282" s="289" t="s">
        <v>1731</v>
      </c>
      <c r="L282" s="288" t="s">
        <v>1732</v>
      </c>
      <c r="M282" s="288" t="s">
        <v>1733</v>
      </c>
      <c r="N282" s="288" t="s">
        <v>1734</v>
      </c>
      <c r="O282" s="289" t="s">
        <v>1791</v>
      </c>
      <c r="P282" s="292"/>
    </row>
    <row r="283" spans="1:16" ht="26.25" hidden="1" x14ac:dyDescent="0.25">
      <c r="A283" s="287" t="s">
        <v>2401</v>
      </c>
      <c r="B283" s="311" t="s">
        <v>2402</v>
      </c>
      <c r="C283" s="62"/>
      <c r="D283" s="288" t="s">
        <v>2400</v>
      </c>
      <c r="E283" s="288"/>
      <c r="F283" s="289">
        <v>8701751703</v>
      </c>
      <c r="G283" s="290">
        <v>46058</v>
      </c>
      <c r="H283" s="291">
        <v>16396</v>
      </c>
      <c r="I283" s="291">
        <v>0</v>
      </c>
      <c r="J283" s="291">
        <v>0</v>
      </c>
      <c r="K283" s="289" t="s">
        <v>1731</v>
      </c>
      <c r="L283" s="288" t="s">
        <v>1732</v>
      </c>
      <c r="M283" s="288" t="s">
        <v>1733</v>
      </c>
      <c r="N283" s="288" t="s">
        <v>1734</v>
      </c>
      <c r="O283" s="289" t="s">
        <v>2031</v>
      </c>
      <c r="P283" s="292"/>
    </row>
    <row r="284" spans="1:16" ht="26.25" hidden="1" x14ac:dyDescent="0.25">
      <c r="A284" s="287" t="s">
        <v>2401</v>
      </c>
      <c r="B284" s="311" t="s">
        <v>2402</v>
      </c>
      <c r="C284" s="62"/>
      <c r="D284" s="288" t="s">
        <v>2400</v>
      </c>
      <c r="E284" s="288"/>
      <c r="F284" s="289"/>
      <c r="G284" s="290">
        <v>45744</v>
      </c>
      <c r="H284" s="291">
        <v>1026150</v>
      </c>
      <c r="I284" s="291">
        <v>1026150</v>
      </c>
      <c r="J284" s="291">
        <v>0</v>
      </c>
      <c r="K284" s="289" t="s">
        <v>1731</v>
      </c>
      <c r="L284" s="288" t="s">
        <v>1732</v>
      </c>
      <c r="M284" s="288" t="s">
        <v>1733</v>
      </c>
      <c r="N284" s="288" t="s">
        <v>1734</v>
      </c>
      <c r="O284" s="289" t="s">
        <v>1791</v>
      </c>
      <c r="P284" s="292"/>
    </row>
    <row r="285" spans="1:16" hidden="1" x14ac:dyDescent="0.25">
      <c r="A285" s="287" t="s">
        <v>2403</v>
      </c>
      <c r="B285" s="311" t="s">
        <v>2404</v>
      </c>
      <c r="C285" s="62"/>
      <c r="D285" s="288" t="s">
        <v>2400</v>
      </c>
      <c r="E285" s="288" t="s">
        <v>1741</v>
      </c>
      <c r="F285" s="289"/>
      <c r="G285" s="290">
        <v>45588</v>
      </c>
      <c r="H285" s="291">
        <v>5565925</v>
      </c>
      <c r="I285" s="291">
        <v>5565925</v>
      </c>
      <c r="J285" s="291">
        <v>-4954700</v>
      </c>
      <c r="K285" s="289" t="s">
        <v>1731</v>
      </c>
      <c r="L285" s="288" t="s">
        <v>1732</v>
      </c>
      <c r="M285" s="288" t="s">
        <v>1733</v>
      </c>
      <c r="N285" s="288" t="s">
        <v>1734</v>
      </c>
      <c r="O285" s="289" t="s">
        <v>1791</v>
      </c>
      <c r="P285" s="292"/>
    </row>
    <row r="286" spans="1:16" hidden="1" x14ac:dyDescent="0.25">
      <c r="A286" s="287" t="s">
        <v>2403</v>
      </c>
      <c r="B286" s="311" t="s">
        <v>2404</v>
      </c>
      <c r="C286" s="62"/>
      <c r="D286" s="288" t="s">
        <v>2400</v>
      </c>
      <c r="E286" s="288" t="s">
        <v>1741</v>
      </c>
      <c r="F286" s="289"/>
      <c r="G286" s="290">
        <v>45516</v>
      </c>
      <c r="H286" s="291">
        <v>29998</v>
      </c>
      <c r="I286" s="291">
        <v>29998</v>
      </c>
      <c r="J286" s="291">
        <v>-4954700</v>
      </c>
      <c r="K286" s="289" t="s">
        <v>1731</v>
      </c>
      <c r="L286" s="288" t="s">
        <v>1773</v>
      </c>
      <c r="M286" s="288" t="s">
        <v>1774</v>
      </c>
      <c r="N286" s="288" t="s">
        <v>1734</v>
      </c>
      <c r="O286" s="289" t="s">
        <v>1791</v>
      </c>
      <c r="P286" s="292"/>
    </row>
    <row r="287" spans="1:16" hidden="1" x14ac:dyDescent="0.25">
      <c r="A287" s="287" t="s">
        <v>2405</v>
      </c>
      <c r="B287" s="311" t="s">
        <v>2406</v>
      </c>
      <c r="C287" s="62"/>
      <c r="D287" s="288" t="s">
        <v>2407</v>
      </c>
      <c r="E287" s="288"/>
      <c r="F287" s="289">
        <v>8701759271</v>
      </c>
      <c r="G287" s="290">
        <v>46069</v>
      </c>
      <c r="H287" s="291">
        <v>10500</v>
      </c>
      <c r="I287" s="291">
        <v>0</v>
      </c>
      <c r="J287" s="291">
        <v>0</v>
      </c>
      <c r="K287" s="289" t="s">
        <v>1731</v>
      </c>
      <c r="L287" s="288" t="s">
        <v>1773</v>
      </c>
      <c r="M287" s="288" t="s">
        <v>1774</v>
      </c>
      <c r="N287" s="288" t="s">
        <v>1734</v>
      </c>
      <c r="O287" s="289" t="s">
        <v>2408</v>
      </c>
      <c r="P287" s="292"/>
    </row>
    <row r="288" spans="1:16" hidden="1" x14ac:dyDescent="0.25">
      <c r="A288" s="287" t="s">
        <v>2405</v>
      </c>
      <c r="B288" s="311" t="s">
        <v>2406</v>
      </c>
      <c r="C288" s="62"/>
      <c r="D288" s="288" t="s">
        <v>2407</v>
      </c>
      <c r="E288" s="288"/>
      <c r="F288" s="289">
        <v>8701776733</v>
      </c>
      <c r="G288" s="290">
        <v>46079</v>
      </c>
      <c r="H288" s="291">
        <v>15000</v>
      </c>
      <c r="I288" s="291">
        <v>0</v>
      </c>
      <c r="J288" s="291">
        <v>0</v>
      </c>
      <c r="K288" s="289" t="s">
        <v>1731</v>
      </c>
      <c r="L288" s="288" t="s">
        <v>1773</v>
      </c>
      <c r="M288" s="288" t="s">
        <v>1774</v>
      </c>
      <c r="N288" s="288" t="s">
        <v>1734</v>
      </c>
      <c r="O288" s="289" t="s">
        <v>2408</v>
      </c>
      <c r="P288" s="292"/>
    </row>
    <row r="289" spans="1:16" hidden="1" x14ac:dyDescent="0.25">
      <c r="A289" s="287" t="s">
        <v>2405</v>
      </c>
      <c r="B289" s="311" t="s">
        <v>2406</v>
      </c>
      <c r="C289" s="62"/>
      <c r="D289" s="288" t="s">
        <v>2407</v>
      </c>
      <c r="E289" s="288"/>
      <c r="F289" s="289">
        <v>8701722541</v>
      </c>
      <c r="G289" s="290">
        <v>46016</v>
      </c>
      <c r="H289" s="291">
        <v>1500</v>
      </c>
      <c r="I289" s="291">
        <v>1500</v>
      </c>
      <c r="J289" s="291">
        <v>0</v>
      </c>
      <c r="K289" s="289" t="s">
        <v>1731</v>
      </c>
      <c r="L289" s="288" t="s">
        <v>1773</v>
      </c>
      <c r="M289" s="288" t="s">
        <v>1774</v>
      </c>
      <c r="N289" s="288" t="s">
        <v>1734</v>
      </c>
      <c r="O289" s="289" t="s">
        <v>2408</v>
      </c>
      <c r="P289" s="292"/>
    </row>
    <row r="290" spans="1:16" hidden="1" x14ac:dyDescent="0.25">
      <c r="A290" s="287" t="s">
        <v>2409</v>
      </c>
      <c r="B290" s="311" t="s">
        <v>2410</v>
      </c>
      <c r="C290" s="62"/>
      <c r="D290" s="288" t="s">
        <v>2411</v>
      </c>
      <c r="E290" s="288" t="s">
        <v>2412</v>
      </c>
      <c r="F290" s="289">
        <v>8000798911</v>
      </c>
      <c r="G290" s="290">
        <v>46079</v>
      </c>
      <c r="H290" s="291">
        <v>192279.04000000001</v>
      </c>
      <c r="I290" s="291">
        <v>192279.04000000001</v>
      </c>
      <c r="J290" s="291">
        <v>0</v>
      </c>
      <c r="K290" s="289" t="s">
        <v>1731</v>
      </c>
      <c r="L290" s="288" t="s">
        <v>1773</v>
      </c>
      <c r="M290" s="288" t="s">
        <v>1774</v>
      </c>
      <c r="N290" s="288" t="s">
        <v>1734</v>
      </c>
      <c r="O290" s="289" t="s">
        <v>2272</v>
      </c>
      <c r="P290" s="292"/>
    </row>
    <row r="291" spans="1:16" hidden="1" x14ac:dyDescent="0.25">
      <c r="A291" s="287" t="s">
        <v>2413</v>
      </c>
      <c r="B291" s="311" t="s">
        <v>2414</v>
      </c>
      <c r="C291" s="62"/>
      <c r="D291" s="288" t="s">
        <v>2415</v>
      </c>
      <c r="E291" s="288" t="s">
        <v>1741</v>
      </c>
      <c r="F291" s="289"/>
      <c r="G291" s="290">
        <v>45505</v>
      </c>
      <c r="H291" s="291">
        <v>159533</v>
      </c>
      <c r="I291" s="291">
        <v>159533</v>
      </c>
      <c r="J291" s="291">
        <v>-159533</v>
      </c>
      <c r="K291" s="289" t="s">
        <v>1731</v>
      </c>
      <c r="L291" s="288" t="s">
        <v>1732</v>
      </c>
      <c r="M291" s="288" t="s">
        <v>1733</v>
      </c>
      <c r="N291" s="288" t="s">
        <v>1734</v>
      </c>
      <c r="O291" s="289" t="s">
        <v>1791</v>
      </c>
      <c r="P291" s="292"/>
    </row>
    <row r="292" spans="1:16" hidden="1" x14ac:dyDescent="0.25">
      <c r="A292" s="287" t="s">
        <v>2416</v>
      </c>
      <c r="B292" s="311" t="s">
        <v>2417</v>
      </c>
      <c r="C292" s="62"/>
      <c r="D292" s="288" t="s">
        <v>2418</v>
      </c>
      <c r="E292" s="288" t="s">
        <v>2419</v>
      </c>
      <c r="F292" s="289">
        <v>4000103885</v>
      </c>
      <c r="G292" s="290">
        <v>46081</v>
      </c>
      <c r="H292" s="291">
        <v>28334.66</v>
      </c>
      <c r="I292" s="291">
        <v>0</v>
      </c>
      <c r="J292" s="291">
        <v>0</v>
      </c>
      <c r="K292" s="289" t="s">
        <v>1731</v>
      </c>
      <c r="L292" s="288" t="s">
        <v>1780</v>
      </c>
      <c r="M292" s="288" t="s">
        <v>1781</v>
      </c>
      <c r="N292" s="288" t="s">
        <v>1751</v>
      </c>
      <c r="O292" s="289" t="s">
        <v>1782</v>
      </c>
      <c r="P292" s="292"/>
    </row>
    <row r="293" spans="1:16" hidden="1" x14ac:dyDescent="0.25">
      <c r="A293" s="287" t="s">
        <v>2420</v>
      </c>
      <c r="B293" s="311" t="s">
        <v>2421</v>
      </c>
      <c r="C293" s="62"/>
      <c r="D293" s="288" t="s">
        <v>2422</v>
      </c>
      <c r="E293" s="288" t="s">
        <v>2423</v>
      </c>
      <c r="F293" s="289">
        <v>8000778966</v>
      </c>
      <c r="G293" s="290">
        <v>45974</v>
      </c>
      <c r="H293" s="291">
        <v>2526021.7200000002</v>
      </c>
      <c r="I293" s="291">
        <v>2526021.7200000002</v>
      </c>
      <c r="J293" s="291">
        <v>0</v>
      </c>
      <c r="K293" s="289" t="s">
        <v>1731</v>
      </c>
      <c r="L293" s="288" t="s">
        <v>1773</v>
      </c>
      <c r="M293" s="288" t="s">
        <v>1774</v>
      </c>
      <c r="N293" s="288" t="s">
        <v>1734</v>
      </c>
      <c r="O293" s="289" t="s">
        <v>2424</v>
      </c>
      <c r="P293" s="292"/>
    </row>
    <row r="294" spans="1:16" hidden="1" x14ac:dyDescent="0.25">
      <c r="A294" s="287" t="s">
        <v>2425</v>
      </c>
      <c r="B294" s="311" t="s">
        <v>2426</v>
      </c>
      <c r="C294" s="62"/>
      <c r="D294" s="288" t="s">
        <v>2427</v>
      </c>
      <c r="E294" s="288" t="s">
        <v>2428</v>
      </c>
      <c r="F294" s="289">
        <v>4000196137</v>
      </c>
      <c r="G294" s="290">
        <v>45413</v>
      </c>
      <c r="H294" s="291">
        <v>4966.82</v>
      </c>
      <c r="I294" s="291">
        <v>4966.82</v>
      </c>
      <c r="J294" s="291">
        <v>0</v>
      </c>
      <c r="K294" s="289" t="s">
        <v>1731</v>
      </c>
      <c r="L294" s="288" t="s">
        <v>1754</v>
      </c>
      <c r="M294" s="288" t="s">
        <v>1755</v>
      </c>
      <c r="N294" s="288" t="s">
        <v>1751</v>
      </c>
      <c r="O294" s="289" t="s">
        <v>1787</v>
      </c>
      <c r="P294" s="292"/>
    </row>
    <row r="295" spans="1:16" hidden="1" x14ac:dyDescent="0.25">
      <c r="A295" s="287" t="s">
        <v>2429</v>
      </c>
      <c r="B295" s="311" t="s">
        <v>2430</v>
      </c>
      <c r="C295" s="62"/>
      <c r="D295" s="288" t="s">
        <v>2431</v>
      </c>
      <c r="E295" s="288" t="s">
        <v>1741</v>
      </c>
      <c r="F295" s="289">
        <v>8701757864</v>
      </c>
      <c r="G295" s="290">
        <v>46065</v>
      </c>
      <c r="H295" s="291">
        <v>42480</v>
      </c>
      <c r="I295" s="291">
        <v>0</v>
      </c>
      <c r="J295" s="291">
        <v>0</v>
      </c>
      <c r="K295" s="289" t="s">
        <v>1731</v>
      </c>
      <c r="L295" s="288" t="s">
        <v>1732</v>
      </c>
      <c r="M295" s="288" t="s">
        <v>1733</v>
      </c>
      <c r="N295" s="288" t="s">
        <v>1734</v>
      </c>
      <c r="O295" s="289" t="s">
        <v>2338</v>
      </c>
      <c r="P295" s="292"/>
    </row>
    <row r="296" spans="1:16" hidden="1" x14ac:dyDescent="0.25">
      <c r="A296" s="287" t="s">
        <v>2432</v>
      </c>
      <c r="B296" s="311" t="s">
        <v>2433</v>
      </c>
      <c r="C296" s="62"/>
      <c r="D296" s="288" t="s">
        <v>2434</v>
      </c>
      <c r="E296" s="288" t="s">
        <v>2435</v>
      </c>
      <c r="F296" s="289">
        <v>8000751885</v>
      </c>
      <c r="G296" s="290">
        <v>45946</v>
      </c>
      <c r="H296" s="291">
        <v>28239767.640000001</v>
      </c>
      <c r="I296" s="291">
        <v>28239767.640000001</v>
      </c>
      <c r="J296" s="291">
        <v>0</v>
      </c>
      <c r="K296" s="289" t="s">
        <v>1731</v>
      </c>
      <c r="L296" s="288" t="s">
        <v>1773</v>
      </c>
      <c r="M296" s="288" t="s">
        <v>1774</v>
      </c>
      <c r="N296" s="288" t="s">
        <v>1734</v>
      </c>
      <c r="O296" s="289" t="s">
        <v>1991</v>
      </c>
      <c r="P296" s="292"/>
    </row>
    <row r="297" spans="1:16" hidden="1" x14ac:dyDescent="0.25">
      <c r="A297" s="287" t="s">
        <v>2436</v>
      </c>
      <c r="B297" s="311" t="s">
        <v>2437</v>
      </c>
      <c r="C297" s="62"/>
      <c r="D297" s="288" t="s">
        <v>2438</v>
      </c>
      <c r="E297" s="288"/>
      <c r="F297" s="289">
        <v>8701787193</v>
      </c>
      <c r="G297" s="290">
        <v>46083</v>
      </c>
      <c r="H297" s="291">
        <v>40800</v>
      </c>
      <c r="I297" s="291">
        <v>0</v>
      </c>
      <c r="J297" s="291">
        <v>0</v>
      </c>
      <c r="K297" s="289" t="s">
        <v>1731</v>
      </c>
      <c r="L297" s="288" t="s">
        <v>1732</v>
      </c>
      <c r="M297" s="288" t="s">
        <v>1733</v>
      </c>
      <c r="N297" s="288" t="s">
        <v>1734</v>
      </c>
      <c r="O297" s="289" t="s">
        <v>2439</v>
      </c>
      <c r="P297" s="292"/>
    </row>
    <row r="298" spans="1:16" ht="26.25" hidden="1" x14ac:dyDescent="0.25">
      <c r="A298" s="287" t="s">
        <v>2440</v>
      </c>
      <c r="B298" s="311" t="s">
        <v>2441</v>
      </c>
      <c r="C298" s="62"/>
      <c r="D298" s="288" t="s">
        <v>2442</v>
      </c>
      <c r="E298" s="288" t="s">
        <v>2443</v>
      </c>
      <c r="F298" s="289">
        <v>8000401177</v>
      </c>
      <c r="G298" s="290">
        <v>46083</v>
      </c>
      <c r="H298" s="291">
        <v>5730214.2000000002</v>
      </c>
      <c r="I298" s="291">
        <v>3730214.2</v>
      </c>
      <c r="J298" s="291">
        <v>0</v>
      </c>
      <c r="K298" s="289" t="s">
        <v>1731</v>
      </c>
      <c r="L298" s="288" t="s">
        <v>1732</v>
      </c>
      <c r="M298" s="288" t="s">
        <v>1733</v>
      </c>
      <c r="N298" s="288" t="s">
        <v>1734</v>
      </c>
      <c r="O298" s="289" t="s">
        <v>2444</v>
      </c>
      <c r="P298" s="292"/>
    </row>
    <row r="299" spans="1:16" hidden="1" x14ac:dyDescent="0.25">
      <c r="A299" s="287" t="s">
        <v>2445</v>
      </c>
      <c r="B299" s="311" t="s">
        <v>2446</v>
      </c>
      <c r="C299" s="62"/>
      <c r="D299" s="288" t="s">
        <v>2447</v>
      </c>
      <c r="E299" s="288" t="s">
        <v>2448</v>
      </c>
      <c r="F299" s="289">
        <v>8000755690</v>
      </c>
      <c r="G299" s="290">
        <v>46079</v>
      </c>
      <c r="H299" s="291">
        <v>37600</v>
      </c>
      <c r="I299" s="291">
        <v>0</v>
      </c>
      <c r="J299" s="291">
        <v>0</v>
      </c>
      <c r="K299" s="289" t="s">
        <v>1731</v>
      </c>
      <c r="L299" s="288" t="s">
        <v>2164</v>
      </c>
      <c r="M299" s="288" t="s">
        <v>2165</v>
      </c>
      <c r="N299" s="288" t="s">
        <v>1734</v>
      </c>
      <c r="O299" s="289" t="s">
        <v>1782</v>
      </c>
      <c r="P299" s="292"/>
    </row>
    <row r="300" spans="1:16" hidden="1" x14ac:dyDescent="0.25">
      <c r="A300" s="287" t="s">
        <v>2449</v>
      </c>
      <c r="B300" s="311" t="s">
        <v>2404</v>
      </c>
      <c r="C300" s="62"/>
      <c r="D300" s="288" t="s">
        <v>2400</v>
      </c>
      <c r="E300" s="288" t="s">
        <v>1741</v>
      </c>
      <c r="F300" s="289"/>
      <c r="G300" s="290">
        <v>45572</v>
      </c>
      <c r="H300" s="291">
        <v>9597</v>
      </c>
      <c r="I300" s="291">
        <v>9597</v>
      </c>
      <c r="J300" s="291">
        <v>-8337</v>
      </c>
      <c r="K300" s="289" t="s">
        <v>1731</v>
      </c>
      <c r="L300" s="288" t="s">
        <v>1732</v>
      </c>
      <c r="M300" s="288" t="s">
        <v>1733</v>
      </c>
      <c r="N300" s="288" t="s">
        <v>1734</v>
      </c>
      <c r="O300" s="289" t="s">
        <v>1791</v>
      </c>
      <c r="P300" s="292"/>
    </row>
    <row r="301" spans="1:16" hidden="1" x14ac:dyDescent="0.25">
      <c r="A301" s="287" t="s">
        <v>2450</v>
      </c>
      <c r="B301" s="311" t="s">
        <v>2451</v>
      </c>
      <c r="C301" s="62"/>
      <c r="D301" s="288" t="s">
        <v>2452</v>
      </c>
      <c r="E301" s="288" t="s">
        <v>2453</v>
      </c>
      <c r="F301" s="289">
        <v>8000392073</v>
      </c>
      <c r="G301" s="290">
        <v>46072</v>
      </c>
      <c r="H301" s="291">
        <v>2494080.2400000002</v>
      </c>
      <c r="I301" s="291">
        <v>2494080.2400000002</v>
      </c>
      <c r="J301" s="291">
        <v>0</v>
      </c>
      <c r="K301" s="289" t="s">
        <v>1731</v>
      </c>
      <c r="L301" s="288" t="s">
        <v>1828</v>
      </c>
      <c r="M301" s="288" t="s">
        <v>1829</v>
      </c>
      <c r="N301" s="288" t="s">
        <v>1830</v>
      </c>
      <c r="O301" s="289" t="s">
        <v>2179</v>
      </c>
      <c r="P301" s="292"/>
    </row>
    <row r="302" spans="1:16" hidden="1" x14ac:dyDescent="0.25">
      <c r="A302" s="287" t="s">
        <v>2450</v>
      </c>
      <c r="B302" s="311" t="s">
        <v>2451</v>
      </c>
      <c r="C302" s="62"/>
      <c r="D302" s="288" t="s">
        <v>2452</v>
      </c>
      <c r="E302" s="288" t="s">
        <v>2454</v>
      </c>
      <c r="F302" s="289">
        <v>8000638137</v>
      </c>
      <c r="G302" s="290">
        <v>46072</v>
      </c>
      <c r="H302" s="291">
        <v>1090882.08</v>
      </c>
      <c r="I302" s="291">
        <v>1090882.08</v>
      </c>
      <c r="J302" s="291">
        <v>0</v>
      </c>
      <c r="K302" s="289" t="s">
        <v>1731</v>
      </c>
      <c r="L302" s="288" t="s">
        <v>1828</v>
      </c>
      <c r="M302" s="288" t="s">
        <v>1829</v>
      </c>
      <c r="N302" s="288" t="s">
        <v>1830</v>
      </c>
      <c r="O302" s="289" t="s">
        <v>2179</v>
      </c>
      <c r="P302" s="292"/>
    </row>
    <row r="303" spans="1:16" hidden="1" x14ac:dyDescent="0.25">
      <c r="A303" s="287" t="s">
        <v>2455</v>
      </c>
      <c r="B303" s="311" t="s">
        <v>2456</v>
      </c>
      <c r="C303" s="62"/>
      <c r="D303" s="288" t="s">
        <v>2457</v>
      </c>
      <c r="E303" s="288" t="s">
        <v>2458</v>
      </c>
      <c r="F303" s="289">
        <v>8000738202</v>
      </c>
      <c r="G303" s="290">
        <v>45967</v>
      </c>
      <c r="H303" s="291">
        <v>92139</v>
      </c>
      <c r="I303" s="291">
        <v>92139</v>
      </c>
      <c r="J303" s="291">
        <v>0</v>
      </c>
      <c r="K303" s="289" t="s">
        <v>1731</v>
      </c>
      <c r="L303" s="288" t="s">
        <v>1773</v>
      </c>
      <c r="M303" s="288" t="s">
        <v>1774</v>
      </c>
      <c r="N303" s="288" t="s">
        <v>1734</v>
      </c>
      <c r="O303" s="289" t="s">
        <v>2222</v>
      </c>
      <c r="P303" s="292"/>
    </row>
    <row r="304" spans="1:16" hidden="1" x14ac:dyDescent="0.25">
      <c r="A304" s="287" t="s">
        <v>2459</v>
      </c>
      <c r="B304" s="311" t="s">
        <v>2460</v>
      </c>
      <c r="C304" s="62"/>
      <c r="D304" s="288" t="s">
        <v>2461</v>
      </c>
      <c r="E304" s="288" t="s">
        <v>1741</v>
      </c>
      <c r="F304" s="289"/>
      <c r="G304" s="290">
        <v>45567</v>
      </c>
      <c r="H304" s="291">
        <v>39050</v>
      </c>
      <c r="I304" s="291">
        <v>39050</v>
      </c>
      <c r="J304" s="291">
        <v>0</v>
      </c>
      <c r="K304" s="289" t="s">
        <v>1731</v>
      </c>
      <c r="L304" s="288" t="s">
        <v>1732</v>
      </c>
      <c r="M304" s="288" t="s">
        <v>1733</v>
      </c>
      <c r="N304" s="288" t="s">
        <v>1734</v>
      </c>
      <c r="O304" s="289" t="s">
        <v>1791</v>
      </c>
      <c r="P304" s="292"/>
    </row>
    <row r="305" spans="1:16" ht="26.25" hidden="1" x14ac:dyDescent="0.25">
      <c r="A305" s="287" t="s">
        <v>2462</v>
      </c>
      <c r="B305" s="311" t="s">
        <v>2463</v>
      </c>
      <c r="C305" s="62"/>
      <c r="D305" s="288" t="s">
        <v>2400</v>
      </c>
      <c r="E305" s="288"/>
      <c r="F305" s="289"/>
      <c r="G305" s="290">
        <v>45720</v>
      </c>
      <c r="H305" s="291">
        <v>457436</v>
      </c>
      <c r="I305" s="291">
        <v>457436</v>
      </c>
      <c r="J305" s="291">
        <v>-392137</v>
      </c>
      <c r="K305" s="289" t="s">
        <v>1731</v>
      </c>
      <c r="L305" s="288" t="s">
        <v>1732</v>
      </c>
      <c r="M305" s="288" t="s">
        <v>1733</v>
      </c>
      <c r="N305" s="288" t="s">
        <v>1734</v>
      </c>
      <c r="O305" s="289" t="s">
        <v>1791</v>
      </c>
      <c r="P305" s="292"/>
    </row>
    <row r="306" spans="1:16" hidden="1" x14ac:dyDescent="0.25">
      <c r="A306" s="287" t="s">
        <v>2464</v>
      </c>
      <c r="B306" s="311" t="s">
        <v>2465</v>
      </c>
      <c r="C306" s="62"/>
      <c r="D306" s="288" t="s">
        <v>2466</v>
      </c>
      <c r="E306" s="288" t="s">
        <v>2467</v>
      </c>
      <c r="F306" s="289">
        <v>4000112307</v>
      </c>
      <c r="G306" s="290">
        <v>42797</v>
      </c>
      <c r="H306" s="291">
        <v>126000</v>
      </c>
      <c r="I306" s="291">
        <v>126000</v>
      </c>
      <c r="J306" s="291">
        <v>-126000</v>
      </c>
      <c r="K306" s="289" t="s">
        <v>1731</v>
      </c>
      <c r="L306" s="288" t="s">
        <v>2468</v>
      </c>
      <c r="M306" s="288" t="s">
        <v>2469</v>
      </c>
      <c r="N306" s="288" t="s">
        <v>1751</v>
      </c>
      <c r="O306" s="289" t="s">
        <v>2470</v>
      </c>
      <c r="P306" s="292"/>
    </row>
    <row r="307" spans="1:16" hidden="1" x14ac:dyDescent="0.25">
      <c r="A307" s="287" t="s">
        <v>2471</v>
      </c>
      <c r="B307" s="311" t="s">
        <v>2472</v>
      </c>
      <c r="C307" s="62"/>
      <c r="D307" s="288" t="s">
        <v>2473</v>
      </c>
      <c r="E307" s="288"/>
      <c r="F307" s="289">
        <v>8701769325</v>
      </c>
      <c r="G307" s="290">
        <v>46072</v>
      </c>
      <c r="H307" s="291">
        <v>74358</v>
      </c>
      <c r="I307" s="291">
        <v>0</v>
      </c>
      <c r="J307" s="291">
        <v>0</v>
      </c>
      <c r="K307" s="289" t="s">
        <v>1731</v>
      </c>
      <c r="L307" s="288" t="s">
        <v>1732</v>
      </c>
      <c r="M307" s="288" t="s">
        <v>1733</v>
      </c>
      <c r="N307" s="288" t="s">
        <v>1734</v>
      </c>
      <c r="O307" s="289" t="s">
        <v>2439</v>
      </c>
      <c r="P307" s="292"/>
    </row>
    <row r="308" spans="1:16" hidden="1" x14ac:dyDescent="0.25">
      <c r="A308" s="287" t="s">
        <v>2471</v>
      </c>
      <c r="B308" s="311" t="s">
        <v>2472</v>
      </c>
      <c r="C308" s="62"/>
      <c r="D308" s="288" t="s">
        <v>2473</v>
      </c>
      <c r="E308" s="288"/>
      <c r="F308" s="289"/>
      <c r="G308" s="290">
        <v>45617</v>
      </c>
      <c r="H308" s="291">
        <v>7446</v>
      </c>
      <c r="I308" s="291">
        <v>7446</v>
      </c>
      <c r="J308" s="291">
        <v>0</v>
      </c>
      <c r="K308" s="289" t="s">
        <v>1731</v>
      </c>
      <c r="L308" s="288" t="s">
        <v>1732</v>
      </c>
      <c r="M308" s="288" t="s">
        <v>1733</v>
      </c>
      <c r="N308" s="288" t="s">
        <v>1734</v>
      </c>
      <c r="O308" s="289" t="s">
        <v>1791</v>
      </c>
      <c r="P308" s="292"/>
    </row>
    <row r="309" spans="1:16" hidden="1" x14ac:dyDescent="0.25">
      <c r="A309" s="287" t="s">
        <v>2471</v>
      </c>
      <c r="B309" s="311" t="s">
        <v>2472</v>
      </c>
      <c r="C309" s="62"/>
      <c r="D309" s="288" t="s">
        <v>2473</v>
      </c>
      <c r="E309" s="288" t="s">
        <v>2474</v>
      </c>
      <c r="F309" s="289">
        <v>8000725638</v>
      </c>
      <c r="G309" s="290">
        <v>45638</v>
      </c>
      <c r="H309" s="291">
        <v>94500</v>
      </c>
      <c r="I309" s="291">
        <v>94500</v>
      </c>
      <c r="J309" s="291">
        <v>0</v>
      </c>
      <c r="K309" s="289" t="s">
        <v>1731</v>
      </c>
      <c r="L309" s="288" t="s">
        <v>1732</v>
      </c>
      <c r="M309" s="288" t="s">
        <v>1733</v>
      </c>
      <c r="N309" s="288" t="s">
        <v>1734</v>
      </c>
      <c r="O309" s="289" t="s">
        <v>2475</v>
      </c>
      <c r="P309" s="292"/>
    </row>
    <row r="310" spans="1:16" hidden="1" x14ac:dyDescent="0.25">
      <c r="A310" s="287" t="s">
        <v>2476</v>
      </c>
      <c r="B310" s="311" t="s">
        <v>2477</v>
      </c>
      <c r="C310" s="62"/>
      <c r="D310" s="288" t="s">
        <v>2478</v>
      </c>
      <c r="E310" s="288" t="s">
        <v>2479</v>
      </c>
      <c r="F310" s="289">
        <v>4000103879</v>
      </c>
      <c r="G310" s="290">
        <v>46081</v>
      </c>
      <c r="H310" s="291">
        <v>25996.92</v>
      </c>
      <c r="I310" s="291">
        <v>25996.92</v>
      </c>
      <c r="J310" s="291">
        <v>0</v>
      </c>
      <c r="K310" s="289" t="s">
        <v>1731</v>
      </c>
      <c r="L310" s="288" t="s">
        <v>1754</v>
      </c>
      <c r="M310" s="288" t="s">
        <v>1755</v>
      </c>
      <c r="N310" s="288" t="s">
        <v>1751</v>
      </c>
      <c r="O310" s="289" t="s">
        <v>2480</v>
      </c>
      <c r="P310" s="292"/>
    </row>
    <row r="311" spans="1:16" hidden="1" x14ac:dyDescent="0.25">
      <c r="A311" s="287" t="s">
        <v>2481</v>
      </c>
      <c r="B311" s="311" t="s">
        <v>2482</v>
      </c>
      <c r="C311" s="62"/>
      <c r="D311" s="288" t="s">
        <v>2483</v>
      </c>
      <c r="E311" s="288" t="s">
        <v>1741</v>
      </c>
      <c r="F311" s="289"/>
      <c r="G311" s="290">
        <v>45477</v>
      </c>
      <c r="H311" s="291">
        <v>15000</v>
      </c>
      <c r="I311" s="291">
        <v>15000</v>
      </c>
      <c r="J311" s="291">
        <v>-15000</v>
      </c>
      <c r="K311" s="289" t="s">
        <v>1731</v>
      </c>
      <c r="L311" s="288" t="s">
        <v>1773</v>
      </c>
      <c r="M311" s="288" t="s">
        <v>1774</v>
      </c>
      <c r="N311" s="288" t="s">
        <v>1734</v>
      </c>
      <c r="O311" s="289" t="s">
        <v>1791</v>
      </c>
      <c r="P311" s="292"/>
    </row>
    <row r="312" spans="1:16" hidden="1" x14ac:dyDescent="0.25">
      <c r="A312" s="287" t="s">
        <v>2484</v>
      </c>
      <c r="B312" s="311" t="s">
        <v>2485</v>
      </c>
      <c r="C312" s="62"/>
      <c r="D312" s="288" t="s">
        <v>2486</v>
      </c>
      <c r="E312" s="288" t="s">
        <v>1741</v>
      </c>
      <c r="F312" s="289">
        <v>8701772590</v>
      </c>
      <c r="G312" s="290">
        <v>46072</v>
      </c>
      <c r="H312" s="291">
        <v>82900</v>
      </c>
      <c r="I312" s="291">
        <v>0</v>
      </c>
      <c r="J312" s="291">
        <v>0</v>
      </c>
      <c r="K312" s="289" t="s">
        <v>1731</v>
      </c>
      <c r="L312" s="288" t="s">
        <v>1773</v>
      </c>
      <c r="M312" s="288" t="s">
        <v>1774</v>
      </c>
      <c r="N312" s="288" t="s">
        <v>1734</v>
      </c>
      <c r="O312" s="289" t="s">
        <v>1797</v>
      </c>
      <c r="P312" s="292"/>
    </row>
    <row r="313" spans="1:16" hidden="1" x14ac:dyDescent="0.25">
      <c r="A313" s="287" t="s">
        <v>2487</v>
      </c>
      <c r="B313" s="311" t="s">
        <v>2488</v>
      </c>
      <c r="C313" s="62"/>
      <c r="D313" s="288" t="s">
        <v>2489</v>
      </c>
      <c r="E313" s="288"/>
      <c r="F313" s="289">
        <v>8701580517</v>
      </c>
      <c r="G313" s="290">
        <v>45848</v>
      </c>
      <c r="H313" s="291">
        <v>36000</v>
      </c>
      <c r="I313" s="291">
        <v>36000</v>
      </c>
      <c r="J313" s="291">
        <v>-36000</v>
      </c>
      <c r="K313" s="289" t="s">
        <v>1731</v>
      </c>
      <c r="L313" s="288" t="s">
        <v>1773</v>
      </c>
      <c r="M313" s="288" t="s">
        <v>1774</v>
      </c>
      <c r="N313" s="288" t="s">
        <v>1734</v>
      </c>
      <c r="O313" s="289" t="s">
        <v>1735</v>
      </c>
      <c r="P313" s="292"/>
    </row>
    <row r="314" spans="1:16" hidden="1" x14ac:dyDescent="0.25">
      <c r="A314" s="287" t="s">
        <v>2490</v>
      </c>
      <c r="B314" s="311" t="s">
        <v>2491</v>
      </c>
      <c r="C314" s="62"/>
      <c r="D314" s="288" t="s">
        <v>2492</v>
      </c>
      <c r="E314" s="288" t="s">
        <v>1741</v>
      </c>
      <c r="F314" s="289"/>
      <c r="G314" s="290">
        <v>45574</v>
      </c>
      <c r="H314" s="291">
        <v>305892</v>
      </c>
      <c r="I314" s="291">
        <v>305892</v>
      </c>
      <c r="J314" s="291">
        <v>-305892</v>
      </c>
      <c r="K314" s="289" t="s">
        <v>1731</v>
      </c>
      <c r="L314" s="288" t="s">
        <v>1732</v>
      </c>
      <c r="M314" s="288" t="s">
        <v>1733</v>
      </c>
      <c r="N314" s="288" t="s">
        <v>1734</v>
      </c>
      <c r="O314" s="289" t="s">
        <v>1791</v>
      </c>
      <c r="P314" s="292"/>
    </row>
    <row r="315" spans="1:16" hidden="1" x14ac:dyDescent="0.25">
      <c r="A315" s="287" t="s">
        <v>2493</v>
      </c>
      <c r="B315" s="311" t="s">
        <v>2494</v>
      </c>
      <c r="C315" s="62"/>
      <c r="D315" s="288" t="s">
        <v>2495</v>
      </c>
      <c r="E315" s="288" t="s">
        <v>2496</v>
      </c>
      <c r="F315" s="289">
        <v>8000760009</v>
      </c>
      <c r="G315" s="290">
        <v>45890</v>
      </c>
      <c r="H315" s="291">
        <v>200000</v>
      </c>
      <c r="I315" s="291">
        <v>200000</v>
      </c>
      <c r="J315" s="291">
        <v>0</v>
      </c>
      <c r="K315" s="289" t="s">
        <v>1731</v>
      </c>
      <c r="L315" s="288" t="s">
        <v>1773</v>
      </c>
      <c r="M315" s="288" t="s">
        <v>1774</v>
      </c>
      <c r="N315" s="288" t="s">
        <v>1734</v>
      </c>
      <c r="O315" s="289" t="s">
        <v>1925</v>
      </c>
      <c r="P315" s="292"/>
    </row>
    <row r="316" spans="1:16" hidden="1" x14ac:dyDescent="0.25">
      <c r="A316" s="287" t="s">
        <v>2497</v>
      </c>
      <c r="B316" s="311" t="s">
        <v>2498</v>
      </c>
      <c r="C316" s="62"/>
      <c r="D316" s="288" t="s">
        <v>2499</v>
      </c>
      <c r="E316" s="288" t="s">
        <v>2500</v>
      </c>
      <c r="F316" s="289"/>
      <c r="G316" s="290">
        <v>45561</v>
      </c>
      <c r="H316" s="291">
        <v>995505</v>
      </c>
      <c r="I316" s="291">
        <v>995505</v>
      </c>
      <c r="J316" s="291">
        <v>0</v>
      </c>
      <c r="K316" s="289" t="s">
        <v>1731</v>
      </c>
      <c r="L316" s="288" t="s">
        <v>1732</v>
      </c>
      <c r="M316" s="288" t="s">
        <v>1733</v>
      </c>
      <c r="N316" s="288" t="s">
        <v>1734</v>
      </c>
      <c r="O316" s="289" t="s">
        <v>1791</v>
      </c>
      <c r="P316" s="292"/>
    </row>
    <row r="317" spans="1:16" hidden="1" x14ac:dyDescent="0.25">
      <c r="A317" s="287" t="s">
        <v>2497</v>
      </c>
      <c r="B317" s="311" t="s">
        <v>2498</v>
      </c>
      <c r="C317" s="62"/>
      <c r="D317" s="288" t="s">
        <v>2499</v>
      </c>
      <c r="E317" s="288" t="s">
        <v>1741</v>
      </c>
      <c r="F317" s="289"/>
      <c r="G317" s="290">
        <v>45551</v>
      </c>
      <c r="H317" s="291">
        <v>474900</v>
      </c>
      <c r="I317" s="291">
        <v>474900</v>
      </c>
      <c r="J317" s="291">
        <v>0</v>
      </c>
      <c r="K317" s="289" t="s">
        <v>1731</v>
      </c>
      <c r="L317" s="288" t="s">
        <v>1732</v>
      </c>
      <c r="M317" s="288" t="s">
        <v>1733</v>
      </c>
      <c r="N317" s="288" t="s">
        <v>1734</v>
      </c>
      <c r="O317" s="289" t="s">
        <v>1791</v>
      </c>
      <c r="P317" s="292"/>
    </row>
    <row r="318" spans="1:16" hidden="1" x14ac:dyDescent="0.25">
      <c r="A318" s="287" t="s">
        <v>2501</v>
      </c>
      <c r="B318" s="311" t="s">
        <v>2502</v>
      </c>
      <c r="C318" s="62"/>
      <c r="D318" s="288" t="s">
        <v>2503</v>
      </c>
      <c r="E318" s="288"/>
      <c r="F318" s="289">
        <v>8701610149</v>
      </c>
      <c r="G318" s="290">
        <v>45890</v>
      </c>
      <c r="H318" s="291">
        <v>15400</v>
      </c>
      <c r="I318" s="291">
        <v>15400</v>
      </c>
      <c r="J318" s="291">
        <v>-15400</v>
      </c>
      <c r="K318" s="289" t="s">
        <v>1731</v>
      </c>
      <c r="L318" s="288" t="s">
        <v>1732</v>
      </c>
      <c r="M318" s="288" t="s">
        <v>1733</v>
      </c>
      <c r="N318" s="288" t="s">
        <v>1734</v>
      </c>
      <c r="O318" s="289" t="s">
        <v>2010</v>
      </c>
      <c r="P318" s="292"/>
    </row>
    <row r="319" spans="1:16" hidden="1" x14ac:dyDescent="0.25">
      <c r="A319" s="287" t="s">
        <v>2504</v>
      </c>
      <c r="B319" s="311" t="s">
        <v>2505</v>
      </c>
      <c r="C319" s="62"/>
      <c r="D319" s="288" t="s">
        <v>2506</v>
      </c>
      <c r="E319" s="288" t="s">
        <v>1741</v>
      </c>
      <c r="F319" s="289"/>
      <c r="G319" s="290">
        <v>45478</v>
      </c>
      <c r="H319" s="291">
        <v>230530.1</v>
      </c>
      <c r="I319" s="291">
        <v>230530.1</v>
      </c>
      <c r="J319" s="291">
        <v>-8122.3</v>
      </c>
      <c r="K319" s="289" t="s">
        <v>1731</v>
      </c>
      <c r="L319" s="288" t="s">
        <v>1732</v>
      </c>
      <c r="M319" s="288" t="s">
        <v>1733</v>
      </c>
      <c r="N319" s="288" t="s">
        <v>1734</v>
      </c>
      <c r="O319" s="289" t="s">
        <v>1791</v>
      </c>
      <c r="P319" s="292"/>
    </row>
    <row r="320" spans="1:16" hidden="1" x14ac:dyDescent="0.25">
      <c r="A320" s="287" t="s">
        <v>2507</v>
      </c>
      <c r="B320" s="311" t="s">
        <v>2508</v>
      </c>
      <c r="C320" s="62"/>
      <c r="D320" s="288" t="s">
        <v>2509</v>
      </c>
      <c r="E320" s="288" t="s">
        <v>2510</v>
      </c>
      <c r="F320" s="289">
        <v>8000793637</v>
      </c>
      <c r="G320" s="290">
        <v>46044</v>
      </c>
      <c r="H320" s="291">
        <v>60000</v>
      </c>
      <c r="I320" s="291">
        <v>60000</v>
      </c>
      <c r="J320" s="291">
        <v>0</v>
      </c>
      <c r="K320" s="289" t="s">
        <v>1731</v>
      </c>
      <c r="L320" s="288" t="s">
        <v>1773</v>
      </c>
      <c r="M320" s="288" t="s">
        <v>1774</v>
      </c>
      <c r="N320" s="288" t="s">
        <v>1734</v>
      </c>
      <c r="O320" s="289" t="s">
        <v>2511</v>
      </c>
      <c r="P320" s="292"/>
    </row>
    <row r="321" spans="1:16" hidden="1" x14ac:dyDescent="0.25">
      <c r="A321" s="287" t="s">
        <v>2512</v>
      </c>
      <c r="B321" s="311" t="s">
        <v>2513</v>
      </c>
      <c r="C321" s="62"/>
      <c r="D321" s="288" t="s">
        <v>2514</v>
      </c>
      <c r="E321" s="288"/>
      <c r="F321" s="289"/>
      <c r="G321" s="290">
        <v>45687</v>
      </c>
      <c r="H321" s="291">
        <v>127420</v>
      </c>
      <c r="I321" s="291">
        <v>127420</v>
      </c>
      <c r="J321" s="291">
        <v>-127420</v>
      </c>
      <c r="K321" s="289" t="s">
        <v>1731</v>
      </c>
      <c r="L321" s="288" t="s">
        <v>1732</v>
      </c>
      <c r="M321" s="288" t="s">
        <v>1733</v>
      </c>
      <c r="N321" s="288" t="s">
        <v>1734</v>
      </c>
      <c r="O321" s="289" t="s">
        <v>1791</v>
      </c>
      <c r="P321" s="292"/>
    </row>
    <row r="322" spans="1:16" hidden="1" x14ac:dyDescent="0.25">
      <c r="A322" s="287" t="s">
        <v>2512</v>
      </c>
      <c r="B322" s="311" t="s">
        <v>2513</v>
      </c>
      <c r="C322" s="62"/>
      <c r="D322" s="288" t="s">
        <v>2514</v>
      </c>
      <c r="E322" s="288" t="s">
        <v>1741</v>
      </c>
      <c r="F322" s="289"/>
      <c r="G322" s="290">
        <v>45552</v>
      </c>
      <c r="H322" s="291">
        <v>218800</v>
      </c>
      <c r="I322" s="291">
        <v>218800</v>
      </c>
      <c r="J322" s="291">
        <v>-56400</v>
      </c>
      <c r="K322" s="289" t="s">
        <v>1731</v>
      </c>
      <c r="L322" s="288" t="s">
        <v>1732</v>
      </c>
      <c r="M322" s="288" t="s">
        <v>1733</v>
      </c>
      <c r="N322" s="288" t="s">
        <v>1734</v>
      </c>
      <c r="O322" s="289" t="s">
        <v>1791</v>
      </c>
      <c r="P322" s="292"/>
    </row>
    <row r="323" spans="1:16" hidden="1" x14ac:dyDescent="0.25">
      <c r="A323" s="287" t="s">
        <v>2515</v>
      </c>
      <c r="B323" s="311" t="s">
        <v>2516</v>
      </c>
      <c r="C323" s="62"/>
      <c r="D323" s="288" t="s">
        <v>2517</v>
      </c>
      <c r="E323" s="288" t="s">
        <v>2518</v>
      </c>
      <c r="F323" s="289">
        <v>8000479896</v>
      </c>
      <c r="G323" s="290">
        <v>44918</v>
      </c>
      <c r="H323" s="291">
        <v>7287412.0700000003</v>
      </c>
      <c r="I323" s="291">
        <v>7287412.0700000003</v>
      </c>
      <c r="J323" s="291">
        <v>-4170446.71</v>
      </c>
      <c r="K323" s="289" t="s">
        <v>1731</v>
      </c>
      <c r="L323" s="288" t="s">
        <v>1773</v>
      </c>
      <c r="M323" s="288" t="s">
        <v>1774</v>
      </c>
      <c r="N323" s="288" t="s">
        <v>1734</v>
      </c>
      <c r="O323" s="289" t="s">
        <v>1955</v>
      </c>
      <c r="P323" s="292"/>
    </row>
    <row r="324" spans="1:16" hidden="1" x14ac:dyDescent="0.25">
      <c r="A324" s="287" t="s">
        <v>2519</v>
      </c>
      <c r="B324" s="311" t="s">
        <v>2520</v>
      </c>
      <c r="C324" s="62"/>
      <c r="D324" s="288" t="s">
        <v>2521</v>
      </c>
      <c r="E324" s="288" t="s">
        <v>2522</v>
      </c>
      <c r="F324" s="289">
        <v>8000805181</v>
      </c>
      <c r="G324" s="290">
        <v>46072</v>
      </c>
      <c r="H324" s="291">
        <v>144000</v>
      </c>
      <c r="I324" s="291">
        <v>144000</v>
      </c>
      <c r="J324" s="291">
        <v>0</v>
      </c>
      <c r="K324" s="289" t="s">
        <v>1731</v>
      </c>
      <c r="L324" s="288" t="s">
        <v>1773</v>
      </c>
      <c r="M324" s="288" t="s">
        <v>1774</v>
      </c>
      <c r="N324" s="288" t="s">
        <v>1734</v>
      </c>
      <c r="O324" s="289" t="s">
        <v>1823</v>
      </c>
      <c r="P324" s="292"/>
    </row>
    <row r="325" spans="1:16" hidden="1" x14ac:dyDescent="0.25">
      <c r="A325" s="287" t="s">
        <v>2519</v>
      </c>
      <c r="B325" s="311" t="s">
        <v>2520</v>
      </c>
      <c r="C325" s="62"/>
      <c r="D325" s="288" t="s">
        <v>2521</v>
      </c>
      <c r="E325" s="288" t="s">
        <v>2523</v>
      </c>
      <c r="F325" s="289">
        <v>8000806532</v>
      </c>
      <c r="G325" s="290">
        <v>46079</v>
      </c>
      <c r="H325" s="291">
        <v>322500</v>
      </c>
      <c r="I325" s="291">
        <v>0</v>
      </c>
      <c r="J325" s="291">
        <v>0</v>
      </c>
      <c r="K325" s="289" t="s">
        <v>1731</v>
      </c>
      <c r="L325" s="288" t="s">
        <v>1773</v>
      </c>
      <c r="M325" s="288" t="s">
        <v>1774</v>
      </c>
      <c r="N325" s="288" t="s">
        <v>1734</v>
      </c>
      <c r="O325" s="289" t="s">
        <v>2524</v>
      </c>
      <c r="P325" s="292"/>
    </row>
    <row r="326" spans="1:16" hidden="1" x14ac:dyDescent="0.25">
      <c r="A326" s="287" t="s">
        <v>2525</v>
      </c>
      <c r="B326" s="311" t="s">
        <v>2526</v>
      </c>
      <c r="C326" s="62"/>
      <c r="D326" s="288" t="s">
        <v>2527</v>
      </c>
      <c r="E326" s="288" t="s">
        <v>1741</v>
      </c>
      <c r="F326" s="289">
        <v>8701760546</v>
      </c>
      <c r="G326" s="290">
        <v>46065</v>
      </c>
      <c r="H326" s="291">
        <v>33500</v>
      </c>
      <c r="I326" s="291">
        <v>33500</v>
      </c>
      <c r="J326" s="291">
        <v>0</v>
      </c>
      <c r="K326" s="289" t="s">
        <v>1731</v>
      </c>
      <c r="L326" s="288" t="s">
        <v>1773</v>
      </c>
      <c r="M326" s="288" t="s">
        <v>1774</v>
      </c>
      <c r="N326" s="288" t="s">
        <v>1734</v>
      </c>
      <c r="O326" s="289" t="s">
        <v>2338</v>
      </c>
      <c r="P326" s="292"/>
    </row>
    <row r="327" spans="1:16" hidden="1" x14ac:dyDescent="0.25">
      <c r="A327" s="287" t="s">
        <v>2525</v>
      </c>
      <c r="B327" s="311" t="s">
        <v>2526</v>
      </c>
      <c r="C327" s="62"/>
      <c r="D327" s="288" t="s">
        <v>2527</v>
      </c>
      <c r="E327" s="288" t="s">
        <v>1741</v>
      </c>
      <c r="F327" s="289">
        <v>8701605676</v>
      </c>
      <c r="G327" s="290">
        <v>45883</v>
      </c>
      <c r="H327" s="291">
        <v>28000</v>
      </c>
      <c r="I327" s="291">
        <v>28000</v>
      </c>
      <c r="J327" s="291">
        <v>-28000</v>
      </c>
      <c r="K327" s="289" t="s">
        <v>1731</v>
      </c>
      <c r="L327" s="288" t="s">
        <v>1773</v>
      </c>
      <c r="M327" s="288" t="s">
        <v>1774</v>
      </c>
      <c r="N327" s="288" t="s">
        <v>1734</v>
      </c>
      <c r="O327" s="289" t="s">
        <v>1914</v>
      </c>
      <c r="P327" s="292"/>
    </row>
    <row r="328" spans="1:16" hidden="1" x14ac:dyDescent="0.25">
      <c r="A328" s="287" t="s">
        <v>2525</v>
      </c>
      <c r="B328" s="311" t="s">
        <v>2526</v>
      </c>
      <c r="C328" s="62"/>
      <c r="D328" s="288" t="s">
        <v>2527</v>
      </c>
      <c r="E328" s="288" t="s">
        <v>1741</v>
      </c>
      <c r="F328" s="289">
        <v>8701605984</v>
      </c>
      <c r="G328" s="290">
        <v>45883</v>
      </c>
      <c r="H328" s="291">
        <v>1000</v>
      </c>
      <c r="I328" s="291">
        <v>1000</v>
      </c>
      <c r="J328" s="291">
        <v>-1000</v>
      </c>
      <c r="K328" s="289" t="s">
        <v>1731</v>
      </c>
      <c r="L328" s="288" t="s">
        <v>1773</v>
      </c>
      <c r="M328" s="288" t="s">
        <v>1774</v>
      </c>
      <c r="N328" s="288" t="s">
        <v>1734</v>
      </c>
      <c r="O328" s="289" t="s">
        <v>1914</v>
      </c>
      <c r="P328" s="292"/>
    </row>
    <row r="329" spans="1:16" hidden="1" x14ac:dyDescent="0.25">
      <c r="A329" s="287" t="s">
        <v>2525</v>
      </c>
      <c r="B329" s="311" t="s">
        <v>2526</v>
      </c>
      <c r="C329" s="62"/>
      <c r="D329" s="288" t="s">
        <v>2527</v>
      </c>
      <c r="E329" s="288" t="s">
        <v>1741</v>
      </c>
      <c r="F329" s="289">
        <v>8701664074</v>
      </c>
      <c r="G329" s="290">
        <v>45953</v>
      </c>
      <c r="H329" s="291">
        <v>4500</v>
      </c>
      <c r="I329" s="291">
        <v>4500</v>
      </c>
      <c r="J329" s="291">
        <v>0</v>
      </c>
      <c r="K329" s="289" t="s">
        <v>1731</v>
      </c>
      <c r="L329" s="288" t="s">
        <v>1773</v>
      </c>
      <c r="M329" s="288" t="s">
        <v>1774</v>
      </c>
      <c r="N329" s="288" t="s">
        <v>1734</v>
      </c>
      <c r="O329" s="289" t="s">
        <v>1914</v>
      </c>
      <c r="P329" s="292"/>
    </row>
    <row r="330" spans="1:16" hidden="1" x14ac:dyDescent="0.25">
      <c r="A330" s="287" t="s">
        <v>2528</v>
      </c>
      <c r="B330" s="311" t="s">
        <v>2529</v>
      </c>
      <c r="C330" s="62"/>
      <c r="D330" s="288" t="s">
        <v>2530</v>
      </c>
      <c r="E330" s="288" t="s">
        <v>1741</v>
      </c>
      <c r="F330" s="289"/>
      <c r="G330" s="290">
        <v>45587</v>
      </c>
      <c r="H330" s="291">
        <v>267197</v>
      </c>
      <c r="I330" s="291">
        <v>267197</v>
      </c>
      <c r="J330" s="291">
        <v>-267197</v>
      </c>
      <c r="K330" s="289" t="s">
        <v>1731</v>
      </c>
      <c r="L330" s="288" t="s">
        <v>1732</v>
      </c>
      <c r="M330" s="288" t="s">
        <v>1733</v>
      </c>
      <c r="N330" s="288" t="s">
        <v>1734</v>
      </c>
      <c r="O330" s="289" t="s">
        <v>1791</v>
      </c>
      <c r="P330" s="292"/>
    </row>
    <row r="331" spans="1:16" hidden="1" x14ac:dyDescent="0.25">
      <c r="A331" s="287" t="s">
        <v>2531</v>
      </c>
      <c r="B331" s="311" t="s">
        <v>2532</v>
      </c>
      <c r="C331" s="62"/>
      <c r="D331" s="288" t="s">
        <v>2533</v>
      </c>
      <c r="E331" s="288" t="s">
        <v>2534</v>
      </c>
      <c r="F331" s="289">
        <v>8000499053</v>
      </c>
      <c r="G331" s="290">
        <v>44945</v>
      </c>
      <c r="H331" s="291">
        <v>36000</v>
      </c>
      <c r="I331" s="291">
        <v>36000</v>
      </c>
      <c r="J331" s="291">
        <v>0</v>
      </c>
      <c r="K331" s="289" t="s">
        <v>1731</v>
      </c>
      <c r="L331" s="288" t="s">
        <v>1773</v>
      </c>
      <c r="M331" s="288" t="s">
        <v>1774</v>
      </c>
      <c r="N331" s="288" t="s">
        <v>1734</v>
      </c>
      <c r="O331" s="289" t="s">
        <v>1925</v>
      </c>
      <c r="P331" s="292"/>
    </row>
    <row r="332" spans="1:16" hidden="1" x14ac:dyDescent="0.25">
      <c r="A332" s="287" t="s">
        <v>2535</v>
      </c>
      <c r="B332" s="311" t="s">
        <v>2536</v>
      </c>
      <c r="C332" s="62"/>
      <c r="D332" s="288" t="s">
        <v>2537</v>
      </c>
      <c r="E332" s="288" t="s">
        <v>2538</v>
      </c>
      <c r="F332" s="289">
        <v>4000103677</v>
      </c>
      <c r="G332" s="290">
        <v>45016</v>
      </c>
      <c r="H332" s="291">
        <v>155895.67999999999</v>
      </c>
      <c r="I332" s="291">
        <v>155895.67999999999</v>
      </c>
      <c r="J332" s="291">
        <v>-155895.67999999999</v>
      </c>
      <c r="K332" s="289" t="s">
        <v>1731</v>
      </c>
      <c r="L332" s="288" t="s">
        <v>1754</v>
      </c>
      <c r="M332" s="288" t="s">
        <v>1755</v>
      </c>
      <c r="N332" s="288" t="s">
        <v>1751</v>
      </c>
      <c r="O332" s="289" t="s">
        <v>1782</v>
      </c>
      <c r="P332" s="292"/>
    </row>
    <row r="333" spans="1:16" hidden="1" x14ac:dyDescent="0.25">
      <c r="A333" s="287" t="s">
        <v>2539</v>
      </c>
      <c r="B333" s="311" t="s">
        <v>2540</v>
      </c>
      <c r="C333" s="62"/>
      <c r="D333" s="288" t="s">
        <v>2541</v>
      </c>
      <c r="E333" s="288" t="s">
        <v>1741</v>
      </c>
      <c r="F333" s="289"/>
      <c r="G333" s="290">
        <v>45555</v>
      </c>
      <c r="H333" s="291">
        <v>35000</v>
      </c>
      <c r="I333" s="291">
        <v>35000</v>
      </c>
      <c r="J333" s="291">
        <v>-35000</v>
      </c>
      <c r="K333" s="289" t="s">
        <v>1731</v>
      </c>
      <c r="L333" s="288" t="s">
        <v>1773</v>
      </c>
      <c r="M333" s="288" t="s">
        <v>1774</v>
      </c>
      <c r="N333" s="288" t="s">
        <v>1734</v>
      </c>
      <c r="O333" s="289" t="s">
        <v>1791</v>
      </c>
      <c r="P333" s="292"/>
    </row>
    <row r="334" spans="1:16" hidden="1" x14ac:dyDescent="0.25">
      <c r="A334" s="287" t="s">
        <v>2542</v>
      </c>
      <c r="B334" s="311" t="s">
        <v>2543</v>
      </c>
      <c r="C334" s="62"/>
      <c r="D334" s="288" t="s">
        <v>2544</v>
      </c>
      <c r="E334" s="288" t="s">
        <v>2545</v>
      </c>
      <c r="F334" s="289">
        <v>8000726201</v>
      </c>
      <c r="G334" s="290">
        <v>45652</v>
      </c>
      <c r="H334" s="291">
        <v>9400.32</v>
      </c>
      <c r="I334" s="291">
        <v>9400.32</v>
      </c>
      <c r="J334" s="291">
        <v>-9400.32</v>
      </c>
      <c r="K334" s="289" t="s">
        <v>1731</v>
      </c>
      <c r="L334" s="288" t="s">
        <v>1773</v>
      </c>
      <c r="M334" s="288" t="s">
        <v>1774</v>
      </c>
      <c r="N334" s="288" t="s">
        <v>1734</v>
      </c>
      <c r="O334" s="289" t="s">
        <v>2129</v>
      </c>
      <c r="P334" s="292"/>
    </row>
    <row r="335" spans="1:16" hidden="1" x14ac:dyDescent="0.25">
      <c r="A335" s="287" t="s">
        <v>2546</v>
      </c>
      <c r="B335" s="311" t="s">
        <v>2547</v>
      </c>
      <c r="C335" s="62"/>
      <c r="D335" s="288" t="s">
        <v>2548</v>
      </c>
      <c r="E335" s="288"/>
      <c r="F335" s="289"/>
      <c r="G335" s="290">
        <v>45610</v>
      </c>
      <c r="H335" s="291">
        <v>31.8</v>
      </c>
      <c r="I335" s="291">
        <v>31.8</v>
      </c>
      <c r="J335" s="291">
        <v>-31.8</v>
      </c>
      <c r="K335" s="289" t="s">
        <v>1731</v>
      </c>
      <c r="L335" s="288" t="s">
        <v>1732</v>
      </c>
      <c r="M335" s="288" t="s">
        <v>1733</v>
      </c>
      <c r="N335" s="288" t="s">
        <v>1734</v>
      </c>
      <c r="O335" s="289" t="s">
        <v>1791</v>
      </c>
      <c r="P335" s="292"/>
    </row>
    <row r="336" spans="1:16" hidden="1" x14ac:dyDescent="0.25">
      <c r="A336" s="287" t="s">
        <v>2546</v>
      </c>
      <c r="B336" s="311" t="s">
        <v>2547</v>
      </c>
      <c r="C336" s="62"/>
      <c r="D336" s="288" t="s">
        <v>2548</v>
      </c>
      <c r="E336" s="288" t="s">
        <v>1741</v>
      </c>
      <c r="F336" s="289"/>
      <c r="G336" s="290">
        <v>45562</v>
      </c>
      <c r="H336" s="291">
        <v>80516.399999999994</v>
      </c>
      <c r="I336" s="291">
        <v>80516.399999999994</v>
      </c>
      <c r="J336" s="291">
        <v>-80516.399999999994</v>
      </c>
      <c r="K336" s="289" t="s">
        <v>1731</v>
      </c>
      <c r="L336" s="288" t="s">
        <v>1732</v>
      </c>
      <c r="M336" s="288" t="s">
        <v>1733</v>
      </c>
      <c r="N336" s="288" t="s">
        <v>1734</v>
      </c>
      <c r="O336" s="289" t="s">
        <v>1791</v>
      </c>
      <c r="P336" s="292"/>
    </row>
    <row r="337" spans="1:16" hidden="1" x14ac:dyDescent="0.25">
      <c r="A337" s="287" t="s">
        <v>2549</v>
      </c>
      <c r="B337" s="311" t="s">
        <v>2550</v>
      </c>
      <c r="C337" s="62"/>
      <c r="D337" s="288" t="s">
        <v>2551</v>
      </c>
      <c r="E337" s="288" t="s">
        <v>1741</v>
      </c>
      <c r="F337" s="289"/>
      <c r="G337" s="290">
        <v>45589</v>
      </c>
      <c r="H337" s="291">
        <v>83547</v>
      </c>
      <c r="I337" s="291">
        <v>83547</v>
      </c>
      <c r="J337" s="291">
        <v>-83547</v>
      </c>
      <c r="K337" s="289" t="s">
        <v>1731</v>
      </c>
      <c r="L337" s="288" t="s">
        <v>1732</v>
      </c>
      <c r="M337" s="288" t="s">
        <v>1733</v>
      </c>
      <c r="N337" s="288" t="s">
        <v>1734</v>
      </c>
      <c r="O337" s="289" t="s">
        <v>1791</v>
      </c>
      <c r="P337" s="292"/>
    </row>
    <row r="338" spans="1:16" hidden="1" x14ac:dyDescent="0.25">
      <c r="A338" s="287" t="s">
        <v>2552</v>
      </c>
      <c r="B338" s="311" t="s">
        <v>2553</v>
      </c>
      <c r="C338" s="62"/>
      <c r="D338" s="288" t="s">
        <v>2554</v>
      </c>
      <c r="E338" s="288" t="s">
        <v>2555</v>
      </c>
      <c r="F338" s="289">
        <v>8000649887</v>
      </c>
      <c r="G338" s="290">
        <v>45575</v>
      </c>
      <c r="H338" s="291">
        <v>1165467.43</v>
      </c>
      <c r="I338" s="291">
        <v>1165467.43</v>
      </c>
      <c r="J338" s="291">
        <v>0</v>
      </c>
      <c r="K338" s="289" t="s">
        <v>1731</v>
      </c>
      <c r="L338" s="288" t="s">
        <v>1773</v>
      </c>
      <c r="M338" s="288" t="s">
        <v>1774</v>
      </c>
      <c r="N338" s="288" t="s">
        <v>1734</v>
      </c>
      <c r="O338" s="289" t="s">
        <v>1768</v>
      </c>
      <c r="P338" s="292"/>
    </row>
    <row r="339" spans="1:16" hidden="1" x14ac:dyDescent="0.25">
      <c r="A339" s="287" t="s">
        <v>2552</v>
      </c>
      <c r="B339" s="311" t="s">
        <v>2553</v>
      </c>
      <c r="C339" s="62"/>
      <c r="D339" s="288" t="s">
        <v>2554</v>
      </c>
      <c r="E339" s="288" t="s">
        <v>2555</v>
      </c>
      <c r="F339" s="289">
        <v>8000649887</v>
      </c>
      <c r="G339" s="290">
        <v>46052</v>
      </c>
      <c r="H339" s="291">
        <v>100000</v>
      </c>
      <c r="I339" s="291">
        <v>100000</v>
      </c>
      <c r="J339" s="291">
        <v>0</v>
      </c>
      <c r="K339" s="289" t="s">
        <v>1731</v>
      </c>
      <c r="L339" s="288" t="s">
        <v>1828</v>
      </c>
      <c r="M339" s="288" t="s">
        <v>1829</v>
      </c>
      <c r="N339" s="288" t="s">
        <v>1830</v>
      </c>
      <c r="O339" s="289" t="s">
        <v>1768</v>
      </c>
      <c r="P339" s="292"/>
    </row>
    <row r="340" spans="1:16" hidden="1" x14ac:dyDescent="0.25">
      <c r="A340" s="287" t="s">
        <v>2556</v>
      </c>
      <c r="B340" s="311" t="s">
        <v>2557</v>
      </c>
      <c r="C340" s="62"/>
      <c r="D340" s="288" t="s">
        <v>2558</v>
      </c>
      <c r="E340" s="288" t="s">
        <v>2559</v>
      </c>
      <c r="F340" s="289">
        <v>8000725701</v>
      </c>
      <c r="G340" s="290">
        <v>45588</v>
      </c>
      <c r="H340" s="291">
        <v>577515</v>
      </c>
      <c r="I340" s="291">
        <v>577515</v>
      </c>
      <c r="J340" s="291">
        <v>-577515</v>
      </c>
      <c r="K340" s="289" t="s">
        <v>1731</v>
      </c>
      <c r="L340" s="288" t="s">
        <v>1732</v>
      </c>
      <c r="M340" s="288" t="s">
        <v>1733</v>
      </c>
      <c r="N340" s="288" t="s">
        <v>1734</v>
      </c>
      <c r="O340" s="289" t="s">
        <v>1847</v>
      </c>
      <c r="P340" s="292"/>
    </row>
    <row r="341" spans="1:16" hidden="1" x14ac:dyDescent="0.25">
      <c r="A341" s="287" t="s">
        <v>2560</v>
      </c>
      <c r="B341" s="311" t="s">
        <v>2561</v>
      </c>
      <c r="C341" s="62"/>
      <c r="D341" s="288" t="s">
        <v>2562</v>
      </c>
      <c r="E341" s="288" t="s">
        <v>2563</v>
      </c>
      <c r="F341" s="289">
        <v>8000724774</v>
      </c>
      <c r="G341" s="290">
        <v>46055</v>
      </c>
      <c r="H341" s="291">
        <v>300000</v>
      </c>
      <c r="I341" s="291">
        <v>300000</v>
      </c>
      <c r="J341" s="291">
        <v>0</v>
      </c>
      <c r="K341" s="289" t="s">
        <v>1731</v>
      </c>
      <c r="L341" s="288" t="s">
        <v>1828</v>
      </c>
      <c r="M341" s="288" t="s">
        <v>1829</v>
      </c>
      <c r="N341" s="288" t="s">
        <v>1830</v>
      </c>
      <c r="O341" s="289" t="s">
        <v>2564</v>
      </c>
      <c r="P341" s="292"/>
    </row>
    <row r="342" spans="1:16" hidden="1" x14ac:dyDescent="0.25">
      <c r="A342" s="287" t="s">
        <v>2560</v>
      </c>
      <c r="B342" s="311" t="s">
        <v>2561</v>
      </c>
      <c r="C342" s="62"/>
      <c r="D342" s="288" t="s">
        <v>2562</v>
      </c>
      <c r="E342" s="288" t="s">
        <v>2565</v>
      </c>
      <c r="F342" s="289">
        <v>8000713026</v>
      </c>
      <c r="G342" s="290">
        <v>46002</v>
      </c>
      <c r="H342" s="291">
        <v>100000</v>
      </c>
      <c r="I342" s="291">
        <v>100000</v>
      </c>
      <c r="J342" s="291">
        <v>0</v>
      </c>
      <c r="K342" s="289" t="s">
        <v>1731</v>
      </c>
      <c r="L342" s="288" t="s">
        <v>1828</v>
      </c>
      <c r="M342" s="288" t="s">
        <v>1829</v>
      </c>
      <c r="N342" s="288" t="s">
        <v>1830</v>
      </c>
      <c r="O342" s="289" t="s">
        <v>1768</v>
      </c>
      <c r="P342" s="292"/>
    </row>
    <row r="343" spans="1:16" hidden="1" x14ac:dyDescent="0.25">
      <c r="A343" s="287" t="s">
        <v>2566</v>
      </c>
      <c r="B343" s="311" t="s">
        <v>2567</v>
      </c>
      <c r="C343" s="62"/>
      <c r="D343" s="288" t="s">
        <v>2568</v>
      </c>
      <c r="E343" s="288"/>
      <c r="F343" s="289">
        <v>8701743371</v>
      </c>
      <c r="G343" s="290">
        <v>46051</v>
      </c>
      <c r="H343" s="291">
        <v>74000</v>
      </c>
      <c r="I343" s="291">
        <v>74000</v>
      </c>
      <c r="J343" s="291">
        <v>0</v>
      </c>
      <c r="K343" s="289" t="s">
        <v>1731</v>
      </c>
      <c r="L343" s="288" t="s">
        <v>1742</v>
      </c>
      <c r="M343" s="288" t="s">
        <v>1743</v>
      </c>
      <c r="N343" s="288" t="s">
        <v>1734</v>
      </c>
      <c r="O343" s="289" t="s">
        <v>1888</v>
      </c>
      <c r="P343" s="292"/>
    </row>
    <row r="344" spans="1:16" hidden="1" x14ac:dyDescent="0.25">
      <c r="A344" s="287" t="s">
        <v>2569</v>
      </c>
      <c r="B344" s="311" t="s">
        <v>2570</v>
      </c>
      <c r="C344" s="62"/>
      <c r="D344" s="288" t="s">
        <v>2571</v>
      </c>
      <c r="E344" s="288" t="s">
        <v>2572</v>
      </c>
      <c r="F344" s="289">
        <v>8000573903</v>
      </c>
      <c r="G344" s="290">
        <v>45890</v>
      </c>
      <c r="H344" s="291">
        <v>31306850</v>
      </c>
      <c r="I344" s="291">
        <v>31306850</v>
      </c>
      <c r="J344" s="291">
        <v>0</v>
      </c>
      <c r="K344" s="289" t="s">
        <v>1731</v>
      </c>
      <c r="L344" s="288" t="s">
        <v>1732</v>
      </c>
      <c r="M344" s="288" t="s">
        <v>1733</v>
      </c>
      <c r="N344" s="288" t="s">
        <v>1734</v>
      </c>
      <c r="O344" s="289" t="s">
        <v>1925</v>
      </c>
      <c r="P344" s="292"/>
    </row>
    <row r="345" spans="1:16" hidden="1" x14ac:dyDescent="0.25">
      <c r="A345" s="287" t="s">
        <v>2569</v>
      </c>
      <c r="B345" s="311" t="s">
        <v>2570</v>
      </c>
      <c r="C345" s="62"/>
      <c r="D345" s="288" t="s">
        <v>2571</v>
      </c>
      <c r="E345" s="288" t="s">
        <v>2573</v>
      </c>
      <c r="F345" s="289">
        <v>8000653073</v>
      </c>
      <c r="G345" s="290">
        <v>45519</v>
      </c>
      <c r="H345" s="291">
        <v>28050000</v>
      </c>
      <c r="I345" s="291">
        <v>28050000</v>
      </c>
      <c r="J345" s="291">
        <v>0</v>
      </c>
      <c r="K345" s="289" t="s">
        <v>1731</v>
      </c>
      <c r="L345" s="288" t="s">
        <v>1732</v>
      </c>
      <c r="M345" s="288" t="s">
        <v>1733</v>
      </c>
      <c r="N345" s="288" t="s">
        <v>1734</v>
      </c>
      <c r="O345" s="289" t="s">
        <v>2004</v>
      </c>
      <c r="P345" s="292"/>
    </row>
    <row r="346" spans="1:16" hidden="1" x14ac:dyDescent="0.25">
      <c r="A346" s="287" t="s">
        <v>2569</v>
      </c>
      <c r="B346" s="311" t="s">
        <v>2570</v>
      </c>
      <c r="C346" s="62"/>
      <c r="D346" s="288" t="s">
        <v>2571</v>
      </c>
      <c r="E346" s="288" t="s">
        <v>2574</v>
      </c>
      <c r="F346" s="289">
        <v>8000735585</v>
      </c>
      <c r="G346" s="290">
        <v>45855</v>
      </c>
      <c r="H346" s="291">
        <v>20760000</v>
      </c>
      <c r="I346" s="291">
        <v>0</v>
      </c>
      <c r="J346" s="291">
        <v>0</v>
      </c>
      <c r="K346" s="289" t="s">
        <v>1731</v>
      </c>
      <c r="L346" s="288" t="s">
        <v>1732</v>
      </c>
      <c r="M346" s="288" t="s">
        <v>1733</v>
      </c>
      <c r="N346" s="288" t="s">
        <v>1734</v>
      </c>
      <c r="O346" s="289" t="s">
        <v>2004</v>
      </c>
      <c r="P346" s="292"/>
    </row>
    <row r="347" spans="1:16" hidden="1" x14ac:dyDescent="0.25">
      <c r="A347" s="287" t="s">
        <v>2569</v>
      </c>
      <c r="B347" s="311" t="s">
        <v>2570</v>
      </c>
      <c r="C347" s="62"/>
      <c r="D347" s="288" t="s">
        <v>2571</v>
      </c>
      <c r="E347" s="288" t="s">
        <v>2575</v>
      </c>
      <c r="F347" s="289">
        <v>8000755738</v>
      </c>
      <c r="G347" s="290">
        <v>45960</v>
      </c>
      <c r="H347" s="291">
        <v>28887000</v>
      </c>
      <c r="I347" s="291">
        <v>0</v>
      </c>
      <c r="J347" s="291">
        <v>0</v>
      </c>
      <c r="K347" s="289" t="s">
        <v>1731</v>
      </c>
      <c r="L347" s="288" t="s">
        <v>1732</v>
      </c>
      <c r="M347" s="288" t="s">
        <v>1733</v>
      </c>
      <c r="N347" s="288" t="s">
        <v>1734</v>
      </c>
      <c r="O347" s="289" t="s">
        <v>2004</v>
      </c>
      <c r="P347" s="292"/>
    </row>
    <row r="348" spans="1:16" hidden="1" x14ac:dyDescent="0.25">
      <c r="A348" s="287" t="s">
        <v>2569</v>
      </c>
      <c r="B348" s="311" t="s">
        <v>2570</v>
      </c>
      <c r="C348" s="62"/>
      <c r="D348" s="288" t="s">
        <v>2571</v>
      </c>
      <c r="E348" s="288" t="s">
        <v>2576</v>
      </c>
      <c r="F348" s="289">
        <v>8000787432</v>
      </c>
      <c r="G348" s="290">
        <v>46002</v>
      </c>
      <c r="H348" s="291">
        <v>8250000</v>
      </c>
      <c r="I348" s="291">
        <v>0</v>
      </c>
      <c r="J348" s="291">
        <v>0</v>
      </c>
      <c r="K348" s="289" t="s">
        <v>1731</v>
      </c>
      <c r="L348" s="288" t="s">
        <v>1839</v>
      </c>
      <c r="M348" s="288" t="s">
        <v>1840</v>
      </c>
      <c r="N348" s="288" t="s">
        <v>1841</v>
      </c>
      <c r="O348" s="289" t="s">
        <v>2577</v>
      </c>
      <c r="P348" s="292"/>
    </row>
    <row r="349" spans="1:16" hidden="1" x14ac:dyDescent="0.25">
      <c r="A349" s="287" t="s">
        <v>2578</v>
      </c>
      <c r="B349" s="311" t="s">
        <v>2579</v>
      </c>
      <c r="C349" s="62"/>
      <c r="D349" s="288" t="s">
        <v>2580</v>
      </c>
      <c r="E349" s="288" t="s">
        <v>2581</v>
      </c>
      <c r="F349" s="289">
        <v>4000228873</v>
      </c>
      <c r="G349" s="290">
        <v>45626</v>
      </c>
      <c r="H349" s="291">
        <v>16194141.140000001</v>
      </c>
      <c r="I349" s="291">
        <v>16194141.140000001</v>
      </c>
      <c r="J349" s="291">
        <v>-16194141.140000001</v>
      </c>
      <c r="K349" s="289" t="s">
        <v>1731</v>
      </c>
      <c r="L349" s="288" t="s">
        <v>1754</v>
      </c>
      <c r="M349" s="288" t="s">
        <v>1755</v>
      </c>
      <c r="N349" s="288" t="s">
        <v>1751</v>
      </c>
      <c r="O349" s="289" t="s">
        <v>1791</v>
      </c>
      <c r="P349" s="292"/>
    </row>
    <row r="350" spans="1:16" hidden="1" x14ac:dyDescent="0.25">
      <c r="A350" s="287" t="s">
        <v>2578</v>
      </c>
      <c r="B350" s="311" t="s">
        <v>2579</v>
      </c>
      <c r="C350" s="62"/>
      <c r="D350" s="288" t="s">
        <v>2580</v>
      </c>
      <c r="E350" s="288" t="s">
        <v>2582</v>
      </c>
      <c r="F350" s="289">
        <v>4000228874</v>
      </c>
      <c r="G350" s="290">
        <v>45443</v>
      </c>
      <c r="H350" s="291">
        <v>4168646.23</v>
      </c>
      <c r="I350" s="291">
        <v>4168646.23</v>
      </c>
      <c r="J350" s="291">
        <v>-4168646.23</v>
      </c>
      <c r="K350" s="289" t="s">
        <v>1731</v>
      </c>
      <c r="L350" s="288" t="s">
        <v>2468</v>
      </c>
      <c r="M350" s="288" t="s">
        <v>2469</v>
      </c>
      <c r="N350" s="288" t="s">
        <v>1751</v>
      </c>
      <c r="O350" s="289" t="s">
        <v>1791</v>
      </c>
      <c r="P350" s="292"/>
    </row>
    <row r="351" spans="1:16" hidden="1" x14ac:dyDescent="0.25">
      <c r="A351" s="287" t="s">
        <v>2578</v>
      </c>
      <c r="B351" s="311" t="s">
        <v>2579</v>
      </c>
      <c r="C351" s="62"/>
      <c r="D351" s="288" t="s">
        <v>2580</v>
      </c>
      <c r="E351" s="288" t="s">
        <v>2583</v>
      </c>
      <c r="F351" s="289">
        <v>4000228875</v>
      </c>
      <c r="G351" s="290">
        <v>45504</v>
      </c>
      <c r="H351" s="291">
        <v>287705.12</v>
      </c>
      <c r="I351" s="291">
        <v>287705.12</v>
      </c>
      <c r="J351" s="291">
        <v>-7613485.2400000002</v>
      </c>
      <c r="K351" s="289" t="s">
        <v>1731</v>
      </c>
      <c r="L351" s="288" t="s">
        <v>1754</v>
      </c>
      <c r="M351" s="288" t="s">
        <v>1755</v>
      </c>
      <c r="N351" s="288" t="s">
        <v>1751</v>
      </c>
      <c r="O351" s="289" t="s">
        <v>1791</v>
      </c>
      <c r="P351" s="292"/>
    </row>
    <row r="352" spans="1:16" hidden="1" x14ac:dyDescent="0.25">
      <c r="A352" s="287" t="s">
        <v>2578</v>
      </c>
      <c r="B352" s="311" t="s">
        <v>2579</v>
      </c>
      <c r="C352" s="62"/>
      <c r="D352" s="288" t="s">
        <v>2580</v>
      </c>
      <c r="E352" s="288" t="s">
        <v>2583</v>
      </c>
      <c r="F352" s="289">
        <v>4000228875</v>
      </c>
      <c r="G352" s="290">
        <v>45443</v>
      </c>
      <c r="H352" s="291">
        <v>10182445.02</v>
      </c>
      <c r="I352" s="291">
        <v>10182445.02</v>
      </c>
      <c r="J352" s="291">
        <v>-7613485.2400000002</v>
      </c>
      <c r="K352" s="289" t="s">
        <v>1731</v>
      </c>
      <c r="L352" s="288" t="s">
        <v>2468</v>
      </c>
      <c r="M352" s="288" t="s">
        <v>2469</v>
      </c>
      <c r="N352" s="288" t="s">
        <v>1751</v>
      </c>
      <c r="O352" s="289" t="s">
        <v>1791</v>
      </c>
      <c r="P352" s="292"/>
    </row>
    <row r="353" spans="1:16" hidden="1" x14ac:dyDescent="0.25">
      <c r="A353" s="287" t="s">
        <v>2578</v>
      </c>
      <c r="B353" s="311" t="s">
        <v>2579</v>
      </c>
      <c r="C353" s="62"/>
      <c r="D353" s="288" t="s">
        <v>2580</v>
      </c>
      <c r="E353" s="288" t="s">
        <v>2584</v>
      </c>
      <c r="F353" s="289">
        <v>4000228805</v>
      </c>
      <c r="G353" s="290">
        <v>45428</v>
      </c>
      <c r="H353" s="291">
        <v>1180201.3700000001</v>
      </c>
      <c r="I353" s="291">
        <v>1180201.3700000001</v>
      </c>
      <c r="J353" s="291">
        <v>0</v>
      </c>
      <c r="K353" s="289" t="s">
        <v>1731</v>
      </c>
      <c r="L353" s="288" t="s">
        <v>2468</v>
      </c>
      <c r="M353" s="288" t="s">
        <v>2469</v>
      </c>
      <c r="N353" s="288" t="s">
        <v>1751</v>
      </c>
      <c r="O353" s="289" t="s">
        <v>1791</v>
      </c>
      <c r="P353" s="292"/>
    </row>
    <row r="354" spans="1:16" hidden="1" x14ac:dyDescent="0.25">
      <c r="A354" s="287" t="s">
        <v>2578</v>
      </c>
      <c r="B354" s="311" t="s">
        <v>2579</v>
      </c>
      <c r="C354" s="62"/>
      <c r="D354" s="288" t="s">
        <v>2580</v>
      </c>
      <c r="E354" s="288" t="s">
        <v>2585</v>
      </c>
      <c r="F354" s="289">
        <v>4000228803</v>
      </c>
      <c r="G354" s="290">
        <v>45291</v>
      </c>
      <c r="H354" s="291">
        <v>849105.29</v>
      </c>
      <c r="I354" s="291">
        <v>849105.29</v>
      </c>
      <c r="J354" s="291">
        <v>0</v>
      </c>
      <c r="K354" s="289" t="s">
        <v>1731</v>
      </c>
      <c r="L354" s="288" t="s">
        <v>2468</v>
      </c>
      <c r="M354" s="288" t="s">
        <v>2469</v>
      </c>
      <c r="N354" s="288" t="s">
        <v>1751</v>
      </c>
      <c r="O354" s="289" t="s">
        <v>1791</v>
      </c>
      <c r="P354" s="292"/>
    </row>
    <row r="355" spans="1:16" hidden="1" x14ac:dyDescent="0.25">
      <c r="A355" s="287" t="s">
        <v>2578</v>
      </c>
      <c r="B355" s="311" t="s">
        <v>2579</v>
      </c>
      <c r="C355" s="62"/>
      <c r="D355" s="288" t="s">
        <v>2580</v>
      </c>
      <c r="E355" s="288" t="s">
        <v>2586</v>
      </c>
      <c r="F355" s="289">
        <v>4000228804</v>
      </c>
      <c r="G355" s="290">
        <v>45443</v>
      </c>
      <c r="H355" s="291">
        <v>1107353.3999999999</v>
      </c>
      <c r="I355" s="291">
        <v>1107353.3999999999</v>
      </c>
      <c r="J355" s="291">
        <v>-481840.8</v>
      </c>
      <c r="K355" s="289" t="s">
        <v>1731</v>
      </c>
      <c r="L355" s="288" t="s">
        <v>2468</v>
      </c>
      <c r="M355" s="288" t="s">
        <v>2469</v>
      </c>
      <c r="N355" s="288" t="s">
        <v>1751</v>
      </c>
      <c r="O355" s="289" t="s">
        <v>1791</v>
      </c>
      <c r="P355" s="292"/>
    </row>
    <row r="356" spans="1:16" hidden="1" x14ac:dyDescent="0.25">
      <c r="A356" s="287" t="s">
        <v>2578</v>
      </c>
      <c r="B356" s="311" t="s">
        <v>2579</v>
      </c>
      <c r="C356" s="62"/>
      <c r="D356" s="288" t="s">
        <v>2580</v>
      </c>
      <c r="E356" s="288" t="s">
        <v>2587</v>
      </c>
      <c r="F356" s="289">
        <v>4000228802</v>
      </c>
      <c r="G356" s="290">
        <v>45657</v>
      </c>
      <c r="H356" s="291">
        <v>15723348.34</v>
      </c>
      <c r="I356" s="291">
        <v>15723348.34</v>
      </c>
      <c r="J356" s="291">
        <v>-15723348.34</v>
      </c>
      <c r="K356" s="289" t="s">
        <v>1731</v>
      </c>
      <c r="L356" s="288" t="s">
        <v>1754</v>
      </c>
      <c r="M356" s="288" t="s">
        <v>1755</v>
      </c>
      <c r="N356" s="288" t="s">
        <v>1751</v>
      </c>
      <c r="O356" s="289" t="s">
        <v>1791</v>
      </c>
      <c r="P356" s="292"/>
    </row>
    <row r="357" spans="1:16" hidden="1" x14ac:dyDescent="0.25">
      <c r="A357" s="287" t="s">
        <v>2578</v>
      </c>
      <c r="B357" s="311" t="s">
        <v>2579</v>
      </c>
      <c r="C357" s="62"/>
      <c r="D357" s="288" t="s">
        <v>2580</v>
      </c>
      <c r="E357" s="288" t="s">
        <v>2588</v>
      </c>
      <c r="F357" s="289">
        <v>4000143572</v>
      </c>
      <c r="G357" s="290">
        <v>45291</v>
      </c>
      <c r="H357" s="291">
        <v>827943.54</v>
      </c>
      <c r="I357" s="291">
        <v>827943.54</v>
      </c>
      <c r="J357" s="291">
        <v>0</v>
      </c>
      <c r="K357" s="289" t="s">
        <v>1731</v>
      </c>
      <c r="L357" s="288" t="s">
        <v>1780</v>
      </c>
      <c r="M357" s="288" t="s">
        <v>1781</v>
      </c>
      <c r="N357" s="288" t="s">
        <v>1751</v>
      </c>
      <c r="O357" s="289" t="s">
        <v>2589</v>
      </c>
      <c r="P357" s="292"/>
    </row>
    <row r="358" spans="1:16" hidden="1" x14ac:dyDescent="0.25">
      <c r="A358" s="287" t="s">
        <v>2578</v>
      </c>
      <c r="B358" s="311" t="s">
        <v>2579</v>
      </c>
      <c r="C358" s="62"/>
      <c r="D358" s="288" t="s">
        <v>2580</v>
      </c>
      <c r="E358" s="288" t="s">
        <v>2590</v>
      </c>
      <c r="F358" s="289">
        <v>8000409696</v>
      </c>
      <c r="G358" s="290">
        <v>45308</v>
      </c>
      <c r="H358" s="291">
        <v>10805362.960000001</v>
      </c>
      <c r="I358" s="291">
        <v>10805362.960000001</v>
      </c>
      <c r="J358" s="291">
        <v>0</v>
      </c>
      <c r="K358" s="289" t="s">
        <v>1731</v>
      </c>
      <c r="L358" s="288" t="s">
        <v>1773</v>
      </c>
      <c r="M358" s="288" t="s">
        <v>1774</v>
      </c>
      <c r="N358" s="288" t="s">
        <v>1734</v>
      </c>
      <c r="O358" s="289" t="s">
        <v>2591</v>
      </c>
      <c r="P358" s="292"/>
    </row>
    <row r="359" spans="1:16" hidden="1" x14ac:dyDescent="0.25">
      <c r="A359" s="287" t="s">
        <v>2578</v>
      </c>
      <c r="B359" s="311" t="s">
        <v>2579</v>
      </c>
      <c r="C359" s="62"/>
      <c r="D359" s="288" t="s">
        <v>2580</v>
      </c>
      <c r="E359" s="288" t="s">
        <v>2592</v>
      </c>
      <c r="F359" s="289">
        <v>4000144506</v>
      </c>
      <c r="G359" s="290">
        <v>45443</v>
      </c>
      <c r="H359" s="291">
        <v>29801.18</v>
      </c>
      <c r="I359" s="291">
        <v>29801.18</v>
      </c>
      <c r="J359" s="291">
        <v>0</v>
      </c>
      <c r="K359" s="289" t="s">
        <v>1731</v>
      </c>
      <c r="L359" s="288" t="s">
        <v>1780</v>
      </c>
      <c r="M359" s="288" t="s">
        <v>1781</v>
      </c>
      <c r="N359" s="288" t="s">
        <v>1751</v>
      </c>
      <c r="O359" s="289" t="s">
        <v>1782</v>
      </c>
      <c r="P359" s="292"/>
    </row>
    <row r="360" spans="1:16" hidden="1" x14ac:dyDescent="0.25">
      <c r="A360" s="287" t="s">
        <v>2593</v>
      </c>
      <c r="B360" s="311" t="s">
        <v>2182</v>
      </c>
      <c r="C360" s="62"/>
      <c r="D360" s="288" t="s">
        <v>2183</v>
      </c>
      <c r="E360" s="288"/>
      <c r="F360" s="289">
        <v>8701536478</v>
      </c>
      <c r="G360" s="290">
        <v>45799</v>
      </c>
      <c r="H360" s="291">
        <v>57913.37</v>
      </c>
      <c r="I360" s="291">
        <v>57913.37</v>
      </c>
      <c r="J360" s="291">
        <v>0</v>
      </c>
      <c r="K360" s="289" t="s">
        <v>1731</v>
      </c>
      <c r="L360" s="288" t="s">
        <v>1732</v>
      </c>
      <c r="M360" s="288" t="s">
        <v>1733</v>
      </c>
      <c r="N360" s="288" t="s">
        <v>1734</v>
      </c>
      <c r="O360" s="289" t="s">
        <v>1796</v>
      </c>
      <c r="P360" s="292"/>
    </row>
    <row r="361" spans="1:16" hidden="1" x14ac:dyDescent="0.25">
      <c r="A361" s="287" t="s">
        <v>2593</v>
      </c>
      <c r="B361" s="311" t="s">
        <v>2182</v>
      </c>
      <c r="C361" s="62"/>
      <c r="D361" s="288" t="s">
        <v>2183</v>
      </c>
      <c r="E361" s="288"/>
      <c r="F361" s="289">
        <v>8701269475</v>
      </c>
      <c r="G361" s="290">
        <v>45512</v>
      </c>
      <c r="H361" s="291">
        <v>2417</v>
      </c>
      <c r="I361" s="291">
        <v>2417</v>
      </c>
      <c r="J361" s="291">
        <v>0</v>
      </c>
      <c r="K361" s="289" t="s">
        <v>1731</v>
      </c>
      <c r="L361" s="288" t="s">
        <v>1732</v>
      </c>
      <c r="M361" s="288" t="s">
        <v>1733</v>
      </c>
      <c r="N361" s="288" t="s">
        <v>1734</v>
      </c>
      <c r="O361" s="289" t="s">
        <v>1929</v>
      </c>
      <c r="P361" s="292"/>
    </row>
    <row r="362" spans="1:16" hidden="1" x14ac:dyDescent="0.25">
      <c r="A362" s="287" t="s">
        <v>2593</v>
      </c>
      <c r="B362" s="311" t="s">
        <v>2182</v>
      </c>
      <c r="C362" s="62"/>
      <c r="D362" s="288" t="s">
        <v>2183</v>
      </c>
      <c r="E362" s="288"/>
      <c r="F362" s="289">
        <v>8701324160</v>
      </c>
      <c r="G362" s="290">
        <v>45582</v>
      </c>
      <c r="H362" s="291">
        <v>8460</v>
      </c>
      <c r="I362" s="291">
        <v>8460</v>
      </c>
      <c r="J362" s="291">
        <v>0</v>
      </c>
      <c r="K362" s="289" t="s">
        <v>1731</v>
      </c>
      <c r="L362" s="288" t="s">
        <v>1732</v>
      </c>
      <c r="M362" s="288" t="s">
        <v>1733</v>
      </c>
      <c r="N362" s="288" t="s">
        <v>1734</v>
      </c>
      <c r="O362" s="289" t="s">
        <v>1929</v>
      </c>
      <c r="P362" s="292"/>
    </row>
    <row r="363" spans="1:16" hidden="1" x14ac:dyDescent="0.25">
      <c r="A363" s="287" t="s">
        <v>2593</v>
      </c>
      <c r="B363" s="311" t="s">
        <v>2182</v>
      </c>
      <c r="C363" s="62"/>
      <c r="D363" s="288" t="s">
        <v>2183</v>
      </c>
      <c r="E363" s="288"/>
      <c r="F363" s="289">
        <v>8701286478</v>
      </c>
      <c r="G363" s="290">
        <v>45540</v>
      </c>
      <c r="H363" s="291">
        <v>6645</v>
      </c>
      <c r="I363" s="291">
        <v>6645</v>
      </c>
      <c r="J363" s="291">
        <v>0</v>
      </c>
      <c r="K363" s="289" t="s">
        <v>1731</v>
      </c>
      <c r="L363" s="288" t="s">
        <v>1773</v>
      </c>
      <c r="M363" s="288" t="s">
        <v>1774</v>
      </c>
      <c r="N363" s="288" t="s">
        <v>1734</v>
      </c>
      <c r="O363" s="289" t="s">
        <v>1929</v>
      </c>
      <c r="P363" s="292"/>
    </row>
    <row r="364" spans="1:16" hidden="1" x14ac:dyDescent="0.25">
      <c r="A364" s="287" t="s">
        <v>2593</v>
      </c>
      <c r="B364" s="311" t="s">
        <v>2182</v>
      </c>
      <c r="C364" s="62"/>
      <c r="D364" s="288" t="s">
        <v>2183</v>
      </c>
      <c r="E364" s="288" t="s">
        <v>2594</v>
      </c>
      <c r="F364" s="289">
        <v>8000745850</v>
      </c>
      <c r="G364" s="290">
        <v>46055</v>
      </c>
      <c r="H364" s="291">
        <v>5416226.0599999996</v>
      </c>
      <c r="I364" s="291">
        <v>955477.77</v>
      </c>
      <c r="J364" s="291">
        <v>0</v>
      </c>
      <c r="K364" s="289" t="s">
        <v>1731</v>
      </c>
      <c r="L364" s="288" t="s">
        <v>1732</v>
      </c>
      <c r="M364" s="288" t="s">
        <v>1733</v>
      </c>
      <c r="N364" s="288" t="s">
        <v>1734</v>
      </c>
      <c r="O364" s="289" t="s">
        <v>2595</v>
      </c>
      <c r="P364" s="292"/>
    </row>
    <row r="365" spans="1:16" hidden="1" x14ac:dyDescent="0.25">
      <c r="A365" s="287" t="s">
        <v>2593</v>
      </c>
      <c r="B365" s="311" t="s">
        <v>2182</v>
      </c>
      <c r="C365" s="62"/>
      <c r="D365" s="288" t="s">
        <v>2183</v>
      </c>
      <c r="E365" s="288" t="s">
        <v>1741</v>
      </c>
      <c r="F365" s="289"/>
      <c r="G365" s="290">
        <v>45548</v>
      </c>
      <c r="H365" s="291">
        <v>1011571.2</v>
      </c>
      <c r="I365" s="291">
        <v>1011571.2</v>
      </c>
      <c r="J365" s="291">
        <v>0</v>
      </c>
      <c r="K365" s="289" t="s">
        <v>1731</v>
      </c>
      <c r="L365" s="288" t="s">
        <v>1732</v>
      </c>
      <c r="M365" s="288" t="s">
        <v>1733</v>
      </c>
      <c r="N365" s="288" t="s">
        <v>1734</v>
      </c>
      <c r="O365" s="289" t="s">
        <v>1791</v>
      </c>
      <c r="P365" s="292"/>
    </row>
    <row r="366" spans="1:16" hidden="1" x14ac:dyDescent="0.25">
      <c r="A366" s="287" t="s">
        <v>2596</v>
      </c>
      <c r="B366" s="311" t="s">
        <v>2597</v>
      </c>
      <c r="C366" s="62"/>
      <c r="D366" s="288" t="s">
        <v>2598</v>
      </c>
      <c r="E366" s="288" t="s">
        <v>1741</v>
      </c>
      <c r="F366" s="289"/>
      <c r="G366" s="290">
        <v>45533</v>
      </c>
      <c r="H366" s="291">
        <v>3000</v>
      </c>
      <c r="I366" s="291">
        <v>3000</v>
      </c>
      <c r="J366" s="291">
        <v>-3000</v>
      </c>
      <c r="K366" s="289" t="s">
        <v>1731</v>
      </c>
      <c r="L366" s="288" t="s">
        <v>1732</v>
      </c>
      <c r="M366" s="288" t="s">
        <v>1733</v>
      </c>
      <c r="N366" s="288" t="s">
        <v>1734</v>
      </c>
      <c r="O366" s="289" t="s">
        <v>1791</v>
      </c>
      <c r="P366" s="292"/>
    </row>
    <row r="367" spans="1:16" hidden="1" x14ac:dyDescent="0.25">
      <c r="A367" s="287" t="s">
        <v>2599</v>
      </c>
      <c r="B367" s="311" t="s">
        <v>2600</v>
      </c>
      <c r="C367" s="62"/>
      <c r="D367" s="288" t="s">
        <v>2601</v>
      </c>
      <c r="E367" s="288"/>
      <c r="F367" s="289"/>
      <c r="G367" s="290">
        <v>45513</v>
      </c>
      <c r="H367" s="291">
        <v>836860</v>
      </c>
      <c r="I367" s="291">
        <v>836860</v>
      </c>
      <c r="J367" s="291">
        <v>-836860</v>
      </c>
      <c r="K367" s="289" t="s">
        <v>1731</v>
      </c>
      <c r="L367" s="288" t="s">
        <v>1773</v>
      </c>
      <c r="M367" s="288" t="s">
        <v>1774</v>
      </c>
      <c r="N367" s="288" t="s">
        <v>1734</v>
      </c>
      <c r="O367" s="289" t="s">
        <v>1791</v>
      </c>
      <c r="P367" s="292"/>
    </row>
    <row r="368" spans="1:16" hidden="1" x14ac:dyDescent="0.25">
      <c r="A368" s="287" t="s">
        <v>2602</v>
      </c>
      <c r="B368" s="311" t="s">
        <v>2603</v>
      </c>
      <c r="C368" s="62"/>
      <c r="D368" s="288" t="s">
        <v>2604</v>
      </c>
      <c r="E368" s="288" t="s">
        <v>2605</v>
      </c>
      <c r="F368" s="289">
        <v>8000398827</v>
      </c>
      <c r="G368" s="290">
        <v>45911</v>
      </c>
      <c r="H368" s="291">
        <v>488446.89</v>
      </c>
      <c r="I368" s="291">
        <v>488446.89</v>
      </c>
      <c r="J368" s="291">
        <v>0</v>
      </c>
      <c r="K368" s="289" t="s">
        <v>1731</v>
      </c>
      <c r="L368" s="288" t="s">
        <v>1773</v>
      </c>
      <c r="M368" s="288" t="s">
        <v>1774</v>
      </c>
      <c r="N368" s="288" t="s">
        <v>1734</v>
      </c>
      <c r="O368" s="289" t="s">
        <v>2606</v>
      </c>
      <c r="P368" s="292"/>
    </row>
    <row r="369" spans="1:17" hidden="1" x14ac:dyDescent="0.25">
      <c r="A369" s="287" t="s">
        <v>2602</v>
      </c>
      <c r="B369" s="311" t="s">
        <v>2603</v>
      </c>
      <c r="C369" s="62"/>
      <c r="D369" s="288" t="s">
        <v>2604</v>
      </c>
      <c r="E369" s="288" t="s">
        <v>2607</v>
      </c>
      <c r="F369" s="289">
        <v>8000511192</v>
      </c>
      <c r="G369" s="290">
        <v>44959</v>
      </c>
      <c r="H369" s="291">
        <v>3428779.68</v>
      </c>
      <c r="I369" s="291">
        <v>3428779.68</v>
      </c>
      <c r="J369" s="291">
        <v>0</v>
      </c>
      <c r="K369" s="289" t="s">
        <v>1731</v>
      </c>
      <c r="L369" s="288" t="s">
        <v>1773</v>
      </c>
      <c r="M369" s="288" t="s">
        <v>1774</v>
      </c>
      <c r="N369" s="288" t="s">
        <v>1734</v>
      </c>
      <c r="O369" s="289" t="s">
        <v>2350</v>
      </c>
      <c r="P369" s="292"/>
    </row>
    <row r="370" spans="1:17" hidden="1" x14ac:dyDescent="0.25">
      <c r="A370" s="287" t="s">
        <v>2602</v>
      </c>
      <c r="B370" s="311" t="s">
        <v>2603</v>
      </c>
      <c r="C370" s="62"/>
      <c r="D370" s="288" t="s">
        <v>2604</v>
      </c>
      <c r="E370" s="288" t="s">
        <v>2608</v>
      </c>
      <c r="F370" s="289">
        <v>8000593477</v>
      </c>
      <c r="G370" s="290">
        <v>46048</v>
      </c>
      <c r="H370" s="291">
        <v>10000</v>
      </c>
      <c r="I370" s="291">
        <v>10000</v>
      </c>
      <c r="J370" s="291">
        <v>0</v>
      </c>
      <c r="K370" s="289" t="s">
        <v>1731</v>
      </c>
      <c r="L370" s="288" t="s">
        <v>1828</v>
      </c>
      <c r="M370" s="288" t="s">
        <v>1829</v>
      </c>
      <c r="N370" s="288" t="s">
        <v>1830</v>
      </c>
      <c r="O370" s="289" t="s">
        <v>2609</v>
      </c>
      <c r="P370" s="292"/>
    </row>
    <row r="371" spans="1:17" hidden="1" x14ac:dyDescent="0.25">
      <c r="A371" s="287" t="s">
        <v>2602</v>
      </c>
      <c r="B371" s="311" t="s">
        <v>2603</v>
      </c>
      <c r="C371" s="62"/>
      <c r="D371" s="288" t="s">
        <v>2604</v>
      </c>
      <c r="E371" s="288" t="s">
        <v>2610</v>
      </c>
      <c r="F371" s="289">
        <v>8000593731</v>
      </c>
      <c r="G371" s="290">
        <v>45316</v>
      </c>
      <c r="H371" s="291">
        <v>2912399.99</v>
      </c>
      <c r="I371" s="291">
        <v>2912399.99</v>
      </c>
      <c r="J371" s="291">
        <v>0</v>
      </c>
      <c r="K371" s="289" t="s">
        <v>1731</v>
      </c>
      <c r="L371" s="288" t="s">
        <v>1773</v>
      </c>
      <c r="M371" s="288" t="s">
        <v>1774</v>
      </c>
      <c r="N371" s="288" t="s">
        <v>1734</v>
      </c>
      <c r="O371" s="289" t="s">
        <v>2383</v>
      </c>
      <c r="P371" s="292"/>
    </row>
    <row r="372" spans="1:17" hidden="1" x14ac:dyDescent="0.25">
      <c r="A372" s="287" t="s">
        <v>2602</v>
      </c>
      <c r="B372" s="311" t="s">
        <v>2603</v>
      </c>
      <c r="C372" s="62"/>
      <c r="D372" s="288" t="s">
        <v>2604</v>
      </c>
      <c r="E372" s="288" t="s">
        <v>2611</v>
      </c>
      <c r="F372" s="289">
        <v>8000593767</v>
      </c>
      <c r="G372" s="290">
        <v>45316</v>
      </c>
      <c r="H372" s="291">
        <v>21587495.399999999</v>
      </c>
      <c r="I372" s="291">
        <v>0</v>
      </c>
      <c r="J372" s="291">
        <v>0</v>
      </c>
      <c r="K372" s="289" t="s">
        <v>1731</v>
      </c>
      <c r="L372" s="288" t="s">
        <v>1773</v>
      </c>
      <c r="M372" s="288" t="s">
        <v>1774</v>
      </c>
      <c r="N372" s="288" t="s">
        <v>1734</v>
      </c>
      <c r="O372" s="289" t="s">
        <v>2350</v>
      </c>
      <c r="P372" s="292"/>
    </row>
    <row r="373" spans="1:17" hidden="1" x14ac:dyDescent="0.25">
      <c r="A373" s="287" t="s">
        <v>2602</v>
      </c>
      <c r="B373" s="311" t="s">
        <v>2603</v>
      </c>
      <c r="C373" s="62"/>
      <c r="D373" s="288" t="s">
        <v>2604</v>
      </c>
      <c r="E373" s="288" t="s">
        <v>2612</v>
      </c>
      <c r="F373" s="289">
        <v>8000596149</v>
      </c>
      <c r="G373" s="290">
        <v>45316</v>
      </c>
      <c r="H373" s="291">
        <v>13701840</v>
      </c>
      <c r="I373" s="291">
        <v>0</v>
      </c>
      <c r="J373" s="291">
        <v>0</v>
      </c>
      <c r="K373" s="289" t="s">
        <v>1731</v>
      </c>
      <c r="L373" s="288" t="s">
        <v>1773</v>
      </c>
      <c r="M373" s="288" t="s">
        <v>1774</v>
      </c>
      <c r="N373" s="288" t="s">
        <v>1734</v>
      </c>
      <c r="O373" s="289" t="s">
        <v>2613</v>
      </c>
      <c r="P373" s="292"/>
    </row>
    <row r="374" spans="1:17" hidden="1" x14ac:dyDescent="0.25">
      <c r="A374" s="287" t="s">
        <v>2602</v>
      </c>
      <c r="B374" s="311" t="s">
        <v>2603</v>
      </c>
      <c r="C374" s="62"/>
      <c r="D374" s="288" t="s">
        <v>2604</v>
      </c>
      <c r="E374" s="288" t="s">
        <v>2614</v>
      </c>
      <c r="F374" s="289">
        <v>8000600781</v>
      </c>
      <c r="G374" s="290">
        <v>45988</v>
      </c>
      <c r="H374" s="291">
        <v>32437371.84</v>
      </c>
      <c r="I374" s="291">
        <v>18268448.760000002</v>
      </c>
      <c r="J374" s="291">
        <v>0</v>
      </c>
      <c r="K374" s="289" t="s">
        <v>1731</v>
      </c>
      <c r="L374" s="288" t="s">
        <v>1773</v>
      </c>
      <c r="M374" s="288" t="s">
        <v>1774</v>
      </c>
      <c r="N374" s="288" t="s">
        <v>1734</v>
      </c>
      <c r="O374" s="289" t="s">
        <v>2615</v>
      </c>
      <c r="P374" s="292"/>
    </row>
    <row r="375" spans="1:17" hidden="1" x14ac:dyDescent="0.25">
      <c r="A375" s="287" t="s">
        <v>2602</v>
      </c>
      <c r="B375" s="311" t="s">
        <v>2603</v>
      </c>
      <c r="C375" s="62"/>
      <c r="D375" s="288" t="s">
        <v>2604</v>
      </c>
      <c r="E375" s="288" t="s">
        <v>2616</v>
      </c>
      <c r="F375" s="289">
        <v>8000627635</v>
      </c>
      <c r="G375" s="290">
        <v>45701</v>
      </c>
      <c r="H375" s="291">
        <v>144000</v>
      </c>
      <c r="I375" s="291">
        <v>144000</v>
      </c>
      <c r="J375" s="291">
        <v>0</v>
      </c>
      <c r="K375" s="289" t="s">
        <v>1731</v>
      </c>
      <c r="L375" s="288" t="s">
        <v>1773</v>
      </c>
      <c r="M375" s="288" t="s">
        <v>1774</v>
      </c>
      <c r="N375" s="288" t="s">
        <v>1734</v>
      </c>
      <c r="O375" s="289" t="s">
        <v>2615</v>
      </c>
      <c r="P375" s="292"/>
    </row>
    <row r="376" spans="1:17" hidden="1" x14ac:dyDescent="0.25">
      <c r="A376" s="287" t="s">
        <v>2617</v>
      </c>
      <c r="B376" s="311" t="s">
        <v>2618</v>
      </c>
      <c r="C376" s="62"/>
      <c r="D376" s="288" t="s">
        <v>2619</v>
      </c>
      <c r="E376" s="288" t="s">
        <v>2620</v>
      </c>
      <c r="F376" s="289">
        <v>8000327319</v>
      </c>
      <c r="G376" s="290">
        <v>45155</v>
      </c>
      <c r="H376" s="291">
        <v>0.3</v>
      </c>
      <c r="I376" s="291">
        <v>0.3</v>
      </c>
      <c r="J376" s="291">
        <v>0</v>
      </c>
      <c r="K376" s="289" t="s">
        <v>1731</v>
      </c>
      <c r="L376" s="288" t="s">
        <v>1773</v>
      </c>
      <c r="M376" s="288" t="s">
        <v>1774</v>
      </c>
      <c r="N376" s="288" t="s">
        <v>1734</v>
      </c>
      <c r="O376" s="289" t="s">
        <v>2621</v>
      </c>
      <c r="P376" s="292"/>
    </row>
    <row r="377" spans="1:17" hidden="1" x14ac:dyDescent="0.25">
      <c r="A377" s="287" t="s">
        <v>2622</v>
      </c>
      <c r="B377" s="311" t="s">
        <v>2623</v>
      </c>
      <c r="C377" s="62"/>
      <c r="D377" s="288" t="s">
        <v>2624</v>
      </c>
      <c r="E377" s="288" t="s">
        <v>1741</v>
      </c>
      <c r="F377" s="289"/>
      <c r="G377" s="290">
        <v>43740</v>
      </c>
      <c r="H377" s="291">
        <v>2266.0100000000002</v>
      </c>
      <c r="I377" s="291">
        <v>2266.0100000000002</v>
      </c>
      <c r="J377" s="291">
        <v>0</v>
      </c>
      <c r="K377" s="289" t="s">
        <v>1731</v>
      </c>
      <c r="L377" s="288" t="s">
        <v>1732</v>
      </c>
      <c r="M377" s="288" t="s">
        <v>1733</v>
      </c>
      <c r="N377" s="288" t="s">
        <v>1734</v>
      </c>
      <c r="O377" s="289" t="s">
        <v>1791</v>
      </c>
      <c r="P377" s="292"/>
    </row>
    <row r="378" spans="1:17" hidden="1" x14ac:dyDescent="0.25">
      <c r="A378" s="287" t="s">
        <v>2625</v>
      </c>
      <c r="B378" s="311" t="s">
        <v>2626</v>
      </c>
      <c r="C378" s="62"/>
      <c r="D378" s="288" t="s">
        <v>2627</v>
      </c>
      <c r="E378" s="288" t="s">
        <v>2628</v>
      </c>
      <c r="F378" s="289">
        <v>4000131812</v>
      </c>
      <c r="G378" s="290">
        <v>46082</v>
      </c>
      <c r="H378" s="291">
        <v>1090487.53</v>
      </c>
      <c r="I378" s="291">
        <v>757836.05</v>
      </c>
      <c r="J378" s="291">
        <v>0</v>
      </c>
      <c r="K378" s="289" t="s">
        <v>1731</v>
      </c>
      <c r="L378" s="288" t="s">
        <v>1754</v>
      </c>
      <c r="M378" s="288" t="s">
        <v>1755</v>
      </c>
      <c r="N378" s="288" t="s">
        <v>1751</v>
      </c>
      <c r="O378" s="289" t="s">
        <v>2480</v>
      </c>
      <c r="P378" s="292"/>
    </row>
    <row r="379" spans="1:17" hidden="1" x14ac:dyDescent="0.25">
      <c r="A379" s="287" t="s">
        <v>2629</v>
      </c>
      <c r="B379" s="311" t="s">
        <v>2630</v>
      </c>
      <c r="C379" s="62"/>
      <c r="D379" s="288" t="s">
        <v>2631</v>
      </c>
      <c r="E379" s="288"/>
      <c r="F379" s="289">
        <v>8701625763</v>
      </c>
      <c r="G379" s="290">
        <v>45904</v>
      </c>
      <c r="H379" s="291">
        <v>0.04</v>
      </c>
      <c r="I379" s="291">
        <v>0.04</v>
      </c>
      <c r="J379" s="291">
        <v>0</v>
      </c>
      <c r="K379" s="289" t="s">
        <v>1731</v>
      </c>
      <c r="L379" s="288" t="s">
        <v>1732</v>
      </c>
      <c r="M379" s="288" t="s">
        <v>1733</v>
      </c>
      <c r="N379" s="288" t="s">
        <v>1734</v>
      </c>
      <c r="O379" s="289" t="s">
        <v>1735</v>
      </c>
      <c r="P379" s="292"/>
    </row>
    <row r="380" spans="1:17" hidden="1" x14ac:dyDescent="0.25">
      <c r="A380" s="287" t="s">
        <v>2632</v>
      </c>
      <c r="B380" s="311" t="s">
        <v>2633</v>
      </c>
      <c r="C380" s="62"/>
      <c r="D380" s="288" t="s">
        <v>2634</v>
      </c>
      <c r="E380" s="288"/>
      <c r="F380" s="289"/>
      <c r="G380" s="290">
        <v>45561</v>
      </c>
      <c r="H380" s="291">
        <v>116668</v>
      </c>
      <c r="I380" s="291">
        <v>116668</v>
      </c>
      <c r="J380" s="291">
        <v>-116668</v>
      </c>
      <c r="K380" s="289" t="s">
        <v>1731</v>
      </c>
      <c r="L380" s="288" t="s">
        <v>1732</v>
      </c>
      <c r="M380" s="288" t="s">
        <v>1733</v>
      </c>
      <c r="N380" s="288" t="s">
        <v>1734</v>
      </c>
      <c r="O380" s="289" t="s">
        <v>1791</v>
      </c>
      <c r="P380" s="292"/>
    </row>
    <row r="381" spans="1:17" hidden="1" x14ac:dyDescent="0.25">
      <c r="A381" s="287" t="s">
        <v>2635</v>
      </c>
      <c r="B381" s="311" t="s">
        <v>2636</v>
      </c>
      <c r="C381" s="62"/>
      <c r="D381" s="288" t="s">
        <v>2637</v>
      </c>
      <c r="E381" s="288" t="s">
        <v>2638</v>
      </c>
      <c r="F381" s="289">
        <v>8000798331</v>
      </c>
      <c r="G381" s="290">
        <v>46058</v>
      </c>
      <c r="H381" s="291">
        <v>100000</v>
      </c>
      <c r="I381" s="291">
        <v>100000</v>
      </c>
      <c r="J381" s="291">
        <v>0</v>
      </c>
      <c r="K381" s="289" t="s">
        <v>1731</v>
      </c>
      <c r="L381" s="288" t="s">
        <v>1773</v>
      </c>
      <c r="M381" s="288" t="s">
        <v>1774</v>
      </c>
      <c r="N381" s="288" t="s">
        <v>1734</v>
      </c>
      <c r="O381" s="289" t="s">
        <v>2163</v>
      </c>
      <c r="P381" s="292"/>
    </row>
    <row r="382" spans="1:17" hidden="1" x14ac:dyDescent="0.25">
      <c r="A382" s="287" t="s">
        <v>2639</v>
      </c>
      <c r="B382" s="311" t="s">
        <v>2640</v>
      </c>
      <c r="C382" s="62"/>
      <c r="D382" s="288" t="s">
        <v>2641</v>
      </c>
      <c r="E382" s="288" t="s">
        <v>2642</v>
      </c>
      <c r="F382" s="289">
        <v>8000640350</v>
      </c>
      <c r="G382" s="290">
        <v>45960</v>
      </c>
      <c r="H382" s="291">
        <v>13000</v>
      </c>
      <c r="I382" s="291">
        <v>13000</v>
      </c>
      <c r="J382" s="291">
        <v>0</v>
      </c>
      <c r="K382" s="289" t="s">
        <v>1731</v>
      </c>
      <c r="L382" s="288" t="s">
        <v>2164</v>
      </c>
      <c r="M382" s="288" t="s">
        <v>2165</v>
      </c>
      <c r="N382" s="288" t="s">
        <v>1734</v>
      </c>
      <c r="O382" s="289" t="s">
        <v>2643</v>
      </c>
      <c r="P382" s="292"/>
    </row>
    <row r="383" spans="1:17" s="364" customFormat="1" ht="45" x14ac:dyDescent="0.25">
      <c r="A383" s="293" t="s">
        <v>2644</v>
      </c>
      <c r="B383" s="312" t="s">
        <v>27</v>
      </c>
      <c r="C383" s="216" t="s">
        <v>1384</v>
      </c>
      <c r="D383" s="294" t="s">
        <v>2645</v>
      </c>
      <c r="E383" s="294" t="s">
        <v>948</v>
      </c>
      <c r="F383" s="295">
        <v>8000749528</v>
      </c>
      <c r="G383" s="296">
        <v>45876</v>
      </c>
      <c r="H383" s="297">
        <v>12234543.869999999</v>
      </c>
      <c r="I383" s="297">
        <v>12234543.869999999</v>
      </c>
      <c r="J383" s="297">
        <v>0</v>
      </c>
      <c r="K383" s="295" t="s">
        <v>1731</v>
      </c>
      <c r="L383" s="294" t="s">
        <v>1773</v>
      </c>
      <c r="M383" s="294" t="s">
        <v>1774</v>
      </c>
      <c r="N383" s="294" t="s">
        <v>1734</v>
      </c>
      <c r="O383" s="295" t="s">
        <v>2116</v>
      </c>
      <c r="P383" s="298"/>
      <c r="Q383" s="364">
        <v>1</v>
      </c>
    </row>
    <row r="384" spans="1:17" s="364" customFormat="1" ht="45" x14ac:dyDescent="0.25">
      <c r="A384" s="293" t="s">
        <v>2644</v>
      </c>
      <c r="B384" s="312" t="s">
        <v>27</v>
      </c>
      <c r="C384" s="216" t="s">
        <v>1671</v>
      </c>
      <c r="D384" s="294" t="s">
        <v>2645</v>
      </c>
      <c r="E384" s="294" t="s">
        <v>1277</v>
      </c>
      <c r="F384" s="295">
        <v>8000768616</v>
      </c>
      <c r="G384" s="296">
        <v>45981</v>
      </c>
      <c r="H384" s="297">
        <v>12935802.880000001</v>
      </c>
      <c r="I384" s="297">
        <v>12935802.880000001</v>
      </c>
      <c r="J384" s="297">
        <v>0</v>
      </c>
      <c r="K384" s="295" t="s">
        <v>1731</v>
      </c>
      <c r="L384" s="294" t="s">
        <v>1773</v>
      </c>
      <c r="M384" s="294" t="s">
        <v>1774</v>
      </c>
      <c r="N384" s="294" t="s">
        <v>1734</v>
      </c>
      <c r="O384" s="295" t="s">
        <v>2020</v>
      </c>
      <c r="P384" s="298"/>
      <c r="Q384" s="364">
        <v>1</v>
      </c>
    </row>
    <row r="385" spans="1:17" s="364" customFormat="1" ht="60" x14ac:dyDescent="0.25">
      <c r="A385" s="293" t="s">
        <v>2644</v>
      </c>
      <c r="B385" s="312" t="s">
        <v>27</v>
      </c>
      <c r="C385" s="216" t="s">
        <v>1696</v>
      </c>
      <c r="D385" s="294" t="s">
        <v>2645</v>
      </c>
      <c r="E385" s="294" t="s">
        <v>1262</v>
      </c>
      <c r="F385" s="295"/>
      <c r="G385" s="296">
        <v>46059</v>
      </c>
      <c r="H385" s="297">
        <v>300000</v>
      </c>
      <c r="I385" s="297">
        <v>300000</v>
      </c>
      <c r="J385" s="297">
        <v>0</v>
      </c>
      <c r="K385" s="295" t="s">
        <v>1731</v>
      </c>
      <c r="L385" s="294" t="s">
        <v>1828</v>
      </c>
      <c r="M385" s="294" t="s">
        <v>1829</v>
      </c>
      <c r="N385" s="294" t="s">
        <v>1830</v>
      </c>
      <c r="O385" s="295" t="s">
        <v>1791</v>
      </c>
      <c r="P385" s="298"/>
      <c r="Q385" s="364">
        <v>1</v>
      </c>
    </row>
    <row r="386" spans="1:17" hidden="1" x14ac:dyDescent="0.25">
      <c r="A386" s="287" t="s">
        <v>2646</v>
      </c>
      <c r="B386" s="311" t="s">
        <v>2647</v>
      </c>
      <c r="C386" s="62"/>
      <c r="D386" s="288" t="s">
        <v>2648</v>
      </c>
      <c r="E386" s="288"/>
      <c r="F386" s="289"/>
      <c r="G386" s="290">
        <v>45680</v>
      </c>
      <c r="H386" s="291">
        <v>15120</v>
      </c>
      <c r="I386" s="291">
        <v>15120</v>
      </c>
      <c r="J386" s="291">
        <v>-15120</v>
      </c>
      <c r="K386" s="289" t="s">
        <v>1731</v>
      </c>
      <c r="L386" s="288" t="s">
        <v>1732</v>
      </c>
      <c r="M386" s="288" t="s">
        <v>1733</v>
      </c>
      <c r="N386" s="288" t="s">
        <v>1734</v>
      </c>
      <c r="O386" s="289" t="s">
        <v>1791</v>
      </c>
      <c r="P386" s="292"/>
    </row>
    <row r="387" spans="1:17" hidden="1" x14ac:dyDescent="0.25">
      <c r="A387" s="287" t="s">
        <v>2649</v>
      </c>
      <c r="B387" s="311" t="s">
        <v>2650</v>
      </c>
      <c r="C387" s="62"/>
      <c r="D387" s="288" t="s">
        <v>2651</v>
      </c>
      <c r="E387" s="288" t="s">
        <v>2652</v>
      </c>
      <c r="F387" s="289">
        <v>8000726096</v>
      </c>
      <c r="G387" s="290">
        <v>45673</v>
      </c>
      <c r="H387" s="291">
        <v>29619</v>
      </c>
      <c r="I387" s="291">
        <v>29619</v>
      </c>
      <c r="J387" s="291">
        <v>-29619</v>
      </c>
      <c r="K387" s="289" t="s">
        <v>1731</v>
      </c>
      <c r="L387" s="288" t="s">
        <v>1773</v>
      </c>
      <c r="M387" s="288" t="s">
        <v>1774</v>
      </c>
      <c r="N387" s="288" t="s">
        <v>1734</v>
      </c>
      <c r="O387" s="289" t="s">
        <v>2653</v>
      </c>
      <c r="P387" s="292"/>
    </row>
    <row r="388" spans="1:17" hidden="1" x14ac:dyDescent="0.25">
      <c r="A388" s="287" t="s">
        <v>2649</v>
      </c>
      <c r="B388" s="311" t="s">
        <v>2650</v>
      </c>
      <c r="C388" s="62"/>
      <c r="D388" s="288" t="s">
        <v>2651</v>
      </c>
      <c r="E388" s="288" t="s">
        <v>2654</v>
      </c>
      <c r="F388" s="289">
        <v>8000725978</v>
      </c>
      <c r="G388" s="290">
        <v>45589</v>
      </c>
      <c r="H388" s="291">
        <v>45108</v>
      </c>
      <c r="I388" s="291">
        <v>45108</v>
      </c>
      <c r="J388" s="291">
        <v>-45108</v>
      </c>
      <c r="K388" s="289" t="s">
        <v>1731</v>
      </c>
      <c r="L388" s="288" t="s">
        <v>1773</v>
      </c>
      <c r="M388" s="288" t="s">
        <v>1774</v>
      </c>
      <c r="N388" s="288" t="s">
        <v>1734</v>
      </c>
      <c r="O388" s="289" t="s">
        <v>2653</v>
      </c>
      <c r="P388" s="292"/>
    </row>
    <row r="389" spans="1:17" hidden="1" x14ac:dyDescent="0.25">
      <c r="A389" s="287" t="s">
        <v>2649</v>
      </c>
      <c r="B389" s="311" t="s">
        <v>2650</v>
      </c>
      <c r="C389" s="62"/>
      <c r="D389" s="288" t="s">
        <v>2651</v>
      </c>
      <c r="E389" s="288" t="s">
        <v>2655</v>
      </c>
      <c r="F389" s="289">
        <v>8000286264</v>
      </c>
      <c r="G389" s="290">
        <v>46079</v>
      </c>
      <c r="H389" s="291">
        <v>404072.76</v>
      </c>
      <c r="I389" s="291">
        <v>404072.76</v>
      </c>
      <c r="J389" s="291">
        <v>0</v>
      </c>
      <c r="K389" s="289" t="s">
        <v>1731</v>
      </c>
      <c r="L389" s="288" t="s">
        <v>1773</v>
      </c>
      <c r="M389" s="288" t="s">
        <v>1774</v>
      </c>
      <c r="N389" s="288" t="s">
        <v>1734</v>
      </c>
      <c r="O389" s="289" t="s">
        <v>2656</v>
      </c>
      <c r="P389" s="292"/>
    </row>
    <row r="390" spans="1:17" hidden="1" x14ac:dyDescent="0.25">
      <c r="A390" s="287" t="s">
        <v>2657</v>
      </c>
      <c r="B390" s="311" t="s">
        <v>2658</v>
      </c>
      <c r="C390" s="62"/>
      <c r="D390" s="288" t="s">
        <v>2659</v>
      </c>
      <c r="E390" s="288"/>
      <c r="F390" s="289"/>
      <c r="G390" s="290">
        <v>45730</v>
      </c>
      <c r="H390" s="291">
        <v>62284.3</v>
      </c>
      <c r="I390" s="291">
        <v>62284.3</v>
      </c>
      <c r="J390" s="291">
        <v>-62284.3</v>
      </c>
      <c r="K390" s="289" t="s">
        <v>1731</v>
      </c>
      <c r="L390" s="288" t="s">
        <v>1732</v>
      </c>
      <c r="M390" s="288" t="s">
        <v>1733</v>
      </c>
      <c r="N390" s="288" t="s">
        <v>1734</v>
      </c>
      <c r="O390" s="289" t="s">
        <v>1791</v>
      </c>
      <c r="P390" s="292"/>
    </row>
    <row r="391" spans="1:17" hidden="1" x14ac:dyDescent="0.25">
      <c r="A391" s="287" t="s">
        <v>2657</v>
      </c>
      <c r="B391" s="311" t="s">
        <v>2658</v>
      </c>
      <c r="C391" s="62"/>
      <c r="D391" s="288" t="s">
        <v>2659</v>
      </c>
      <c r="E391" s="288" t="s">
        <v>1741</v>
      </c>
      <c r="F391" s="289"/>
      <c r="G391" s="290">
        <v>45573</v>
      </c>
      <c r="H391" s="291">
        <v>235413.34</v>
      </c>
      <c r="I391" s="291">
        <v>235413.34</v>
      </c>
      <c r="J391" s="291">
        <v>-176027.04</v>
      </c>
      <c r="K391" s="289" t="s">
        <v>1731</v>
      </c>
      <c r="L391" s="288" t="s">
        <v>1732</v>
      </c>
      <c r="M391" s="288" t="s">
        <v>1733</v>
      </c>
      <c r="N391" s="288" t="s">
        <v>1734</v>
      </c>
      <c r="O391" s="289" t="s">
        <v>1791</v>
      </c>
      <c r="P391" s="292"/>
    </row>
    <row r="392" spans="1:17" hidden="1" x14ac:dyDescent="0.25">
      <c r="A392" s="287" t="s">
        <v>2660</v>
      </c>
      <c r="B392" s="311" t="s">
        <v>2661</v>
      </c>
      <c r="C392" s="62"/>
      <c r="D392" s="288" t="s">
        <v>2651</v>
      </c>
      <c r="E392" s="288" t="s">
        <v>2662</v>
      </c>
      <c r="F392" s="289">
        <v>8000384878</v>
      </c>
      <c r="G392" s="290">
        <v>46065</v>
      </c>
      <c r="H392" s="291">
        <v>56373.78</v>
      </c>
      <c r="I392" s="291">
        <v>56373.78</v>
      </c>
      <c r="J392" s="291">
        <v>0</v>
      </c>
      <c r="K392" s="289" t="s">
        <v>1731</v>
      </c>
      <c r="L392" s="288" t="s">
        <v>1773</v>
      </c>
      <c r="M392" s="288" t="s">
        <v>1774</v>
      </c>
      <c r="N392" s="288" t="s">
        <v>1734</v>
      </c>
      <c r="O392" s="289" t="s">
        <v>2663</v>
      </c>
      <c r="P392" s="292"/>
    </row>
    <row r="393" spans="1:17" hidden="1" x14ac:dyDescent="0.25">
      <c r="A393" s="287" t="s">
        <v>2664</v>
      </c>
      <c r="B393" s="311" t="s">
        <v>29</v>
      </c>
      <c r="C393" s="62"/>
      <c r="D393" s="288" t="s">
        <v>2665</v>
      </c>
      <c r="E393" s="288" t="s">
        <v>2666</v>
      </c>
      <c r="F393" s="289">
        <v>8000458907</v>
      </c>
      <c r="G393" s="290">
        <v>46070</v>
      </c>
      <c r="H393" s="291">
        <v>20490443.149999999</v>
      </c>
      <c r="I393" s="291">
        <v>20490443.149999999</v>
      </c>
      <c r="J393" s="291">
        <v>0</v>
      </c>
      <c r="K393" s="289" t="s">
        <v>1731</v>
      </c>
      <c r="L393" s="288" t="s">
        <v>1828</v>
      </c>
      <c r="M393" s="288" t="s">
        <v>1829</v>
      </c>
      <c r="N393" s="288" t="s">
        <v>1830</v>
      </c>
      <c r="O393" s="289" t="s">
        <v>1768</v>
      </c>
      <c r="P393" s="292"/>
    </row>
    <row r="394" spans="1:17" hidden="1" x14ac:dyDescent="0.25">
      <c r="A394" s="287" t="s">
        <v>2664</v>
      </c>
      <c r="B394" s="311" t="s">
        <v>29</v>
      </c>
      <c r="C394" s="62"/>
      <c r="D394" s="288" t="s">
        <v>2665</v>
      </c>
      <c r="E394" s="288" t="s">
        <v>2667</v>
      </c>
      <c r="F394" s="289">
        <v>8000469958</v>
      </c>
      <c r="G394" s="290">
        <v>46048</v>
      </c>
      <c r="H394" s="291">
        <v>2502446.25</v>
      </c>
      <c r="I394" s="291">
        <v>2502446.25</v>
      </c>
      <c r="J394" s="291">
        <v>0</v>
      </c>
      <c r="K394" s="289" t="s">
        <v>1731</v>
      </c>
      <c r="L394" s="288" t="s">
        <v>1828</v>
      </c>
      <c r="M394" s="288" t="s">
        <v>1829</v>
      </c>
      <c r="N394" s="288" t="s">
        <v>1830</v>
      </c>
      <c r="O394" s="289" t="s">
        <v>1768</v>
      </c>
      <c r="P394" s="292"/>
    </row>
    <row r="395" spans="1:17" hidden="1" x14ac:dyDescent="0.25">
      <c r="A395" s="287" t="s">
        <v>2668</v>
      </c>
      <c r="B395" s="311" t="s">
        <v>2669</v>
      </c>
      <c r="C395" s="62"/>
      <c r="D395" s="288" t="s">
        <v>2670</v>
      </c>
      <c r="E395" s="288" t="s">
        <v>2033</v>
      </c>
      <c r="F395" s="289">
        <v>8701432036</v>
      </c>
      <c r="G395" s="290">
        <v>45708</v>
      </c>
      <c r="H395" s="291">
        <v>24600</v>
      </c>
      <c r="I395" s="291">
        <v>24600</v>
      </c>
      <c r="J395" s="291">
        <v>-24600</v>
      </c>
      <c r="K395" s="289" t="s">
        <v>1731</v>
      </c>
      <c r="L395" s="288" t="s">
        <v>1732</v>
      </c>
      <c r="M395" s="288" t="s">
        <v>1733</v>
      </c>
      <c r="N395" s="288" t="s">
        <v>1734</v>
      </c>
      <c r="O395" s="289" t="s">
        <v>2383</v>
      </c>
      <c r="P395" s="292"/>
    </row>
    <row r="396" spans="1:17" hidden="1" x14ac:dyDescent="0.25">
      <c r="A396" s="287" t="s">
        <v>2671</v>
      </c>
      <c r="B396" s="311" t="s">
        <v>2672</v>
      </c>
      <c r="C396" s="62"/>
      <c r="D396" s="288" t="s">
        <v>2673</v>
      </c>
      <c r="E396" s="288" t="s">
        <v>2674</v>
      </c>
      <c r="F396" s="289">
        <v>8000411008</v>
      </c>
      <c r="G396" s="290">
        <v>46009</v>
      </c>
      <c r="H396" s="291">
        <v>2518937.73</v>
      </c>
      <c r="I396" s="291">
        <v>2518937.73</v>
      </c>
      <c r="J396" s="291">
        <v>0</v>
      </c>
      <c r="K396" s="289" t="s">
        <v>1731</v>
      </c>
      <c r="L396" s="288" t="s">
        <v>1732</v>
      </c>
      <c r="M396" s="288" t="s">
        <v>1733</v>
      </c>
      <c r="N396" s="288" t="s">
        <v>1734</v>
      </c>
      <c r="O396" s="289" t="s">
        <v>1925</v>
      </c>
      <c r="P396" s="292"/>
    </row>
    <row r="397" spans="1:17" hidden="1" x14ac:dyDescent="0.25">
      <c r="A397" s="287" t="s">
        <v>2671</v>
      </c>
      <c r="B397" s="311" t="s">
        <v>2672</v>
      </c>
      <c r="C397" s="62"/>
      <c r="D397" s="288" t="s">
        <v>2673</v>
      </c>
      <c r="E397" s="288" t="s">
        <v>2675</v>
      </c>
      <c r="F397" s="289">
        <v>8000759068</v>
      </c>
      <c r="G397" s="290">
        <v>45925</v>
      </c>
      <c r="H397" s="291">
        <v>450000</v>
      </c>
      <c r="I397" s="291">
        <v>450000</v>
      </c>
      <c r="J397" s="291">
        <v>0</v>
      </c>
      <c r="K397" s="289" t="s">
        <v>1731</v>
      </c>
      <c r="L397" s="288" t="s">
        <v>1839</v>
      </c>
      <c r="M397" s="288" t="s">
        <v>1840</v>
      </c>
      <c r="N397" s="288" t="s">
        <v>1841</v>
      </c>
      <c r="O397" s="289" t="s">
        <v>2676</v>
      </c>
      <c r="P397" s="292"/>
    </row>
    <row r="398" spans="1:17" hidden="1" x14ac:dyDescent="0.25">
      <c r="A398" s="287" t="s">
        <v>2671</v>
      </c>
      <c r="B398" s="311" t="s">
        <v>2672</v>
      </c>
      <c r="C398" s="62"/>
      <c r="D398" s="288" t="s">
        <v>2673</v>
      </c>
      <c r="E398" s="288" t="s">
        <v>2675</v>
      </c>
      <c r="F398" s="289">
        <v>8000759068</v>
      </c>
      <c r="G398" s="290">
        <v>45918</v>
      </c>
      <c r="H398" s="291">
        <v>450000</v>
      </c>
      <c r="I398" s="291">
        <v>450000</v>
      </c>
      <c r="J398" s="291">
        <v>0</v>
      </c>
      <c r="K398" s="289" t="s">
        <v>1731</v>
      </c>
      <c r="L398" s="288" t="s">
        <v>1732</v>
      </c>
      <c r="M398" s="288" t="s">
        <v>1733</v>
      </c>
      <c r="N398" s="288" t="s">
        <v>1734</v>
      </c>
      <c r="O398" s="289" t="s">
        <v>2676</v>
      </c>
      <c r="P398" s="292"/>
    </row>
    <row r="399" spans="1:17" hidden="1" x14ac:dyDescent="0.25">
      <c r="A399" s="287" t="s">
        <v>2677</v>
      </c>
      <c r="B399" s="311" t="s">
        <v>2678</v>
      </c>
      <c r="C399" s="62"/>
      <c r="D399" s="288" t="s">
        <v>2679</v>
      </c>
      <c r="E399" s="288" t="s">
        <v>2680</v>
      </c>
      <c r="F399" s="289">
        <v>4000195794</v>
      </c>
      <c r="G399" s="290">
        <v>46081</v>
      </c>
      <c r="H399" s="291">
        <v>41889.269999999997</v>
      </c>
      <c r="I399" s="291">
        <v>27849.46</v>
      </c>
      <c r="J399" s="291">
        <v>0</v>
      </c>
      <c r="K399" s="289" t="s">
        <v>1731</v>
      </c>
      <c r="L399" s="288" t="s">
        <v>1780</v>
      </c>
      <c r="M399" s="288" t="s">
        <v>1781</v>
      </c>
      <c r="N399" s="288" t="s">
        <v>1751</v>
      </c>
      <c r="O399" s="289" t="s">
        <v>1782</v>
      </c>
      <c r="P399" s="292"/>
    </row>
    <row r="400" spans="1:17" hidden="1" x14ac:dyDescent="0.25">
      <c r="A400" s="287" t="s">
        <v>2677</v>
      </c>
      <c r="B400" s="311" t="s">
        <v>2678</v>
      </c>
      <c r="C400" s="62"/>
      <c r="D400" s="288" t="s">
        <v>2679</v>
      </c>
      <c r="E400" s="288" t="s">
        <v>2681</v>
      </c>
      <c r="F400" s="289">
        <v>8000643551</v>
      </c>
      <c r="G400" s="290">
        <v>45840</v>
      </c>
      <c r="H400" s="291">
        <v>2459263.13</v>
      </c>
      <c r="I400" s="291">
        <v>2459263.13</v>
      </c>
      <c r="J400" s="291">
        <v>0</v>
      </c>
      <c r="K400" s="289" t="s">
        <v>1731</v>
      </c>
      <c r="L400" s="288" t="s">
        <v>1773</v>
      </c>
      <c r="M400" s="288" t="s">
        <v>1774</v>
      </c>
      <c r="N400" s="288" t="s">
        <v>1734</v>
      </c>
      <c r="O400" s="289" t="s">
        <v>2682</v>
      </c>
      <c r="P400" s="292"/>
    </row>
    <row r="401" spans="1:16" hidden="1" x14ac:dyDescent="0.25">
      <c r="A401" s="287" t="s">
        <v>2677</v>
      </c>
      <c r="B401" s="311" t="s">
        <v>2678</v>
      </c>
      <c r="C401" s="62"/>
      <c r="D401" s="288" t="s">
        <v>2679</v>
      </c>
      <c r="E401" s="288" t="s">
        <v>2681</v>
      </c>
      <c r="F401" s="289">
        <v>4000240575</v>
      </c>
      <c r="G401" s="290">
        <v>46078</v>
      </c>
      <c r="H401" s="291">
        <v>142084.59</v>
      </c>
      <c r="I401" s="291">
        <v>24566.02</v>
      </c>
      <c r="J401" s="291">
        <v>0</v>
      </c>
      <c r="K401" s="289" t="s">
        <v>1731</v>
      </c>
      <c r="L401" s="288" t="s">
        <v>1754</v>
      </c>
      <c r="M401" s="288" t="s">
        <v>1755</v>
      </c>
      <c r="N401" s="288" t="s">
        <v>1751</v>
      </c>
      <c r="O401" s="289" t="s">
        <v>1787</v>
      </c>
      <c r="P401" s="292"/>
    </row>
    <row r="402" spans="1:16" hidden="1" x14ac:dyDescent="0.25">
      <c r="A402" s="287" t="s">
        <v>2677</v>
      </c>
      <c r="B402" s="311" t="s">
        <v>2678</v>
      </c>
      <c r="C402" s="62"/>
      <c r="D402" s="288" t="s">
        <v>2679</v>
      </c>
      <c r="E402" s="288" t="s">
        <v>2681</v>
      </c>
      <c r="F402" s="289">
        <v>8000643551</v>
      </c>
      <c r="G402" s="290">
        <v>45840</v>
      </c>
      <c r="H402" s="291">
        <v>49591.02</v>
      </c>
      <c r="I402" s="291">
        <v>49591.02</v>
      </c>
      <c r="J402" s="291">
        <v>0</v>
      </c>
      <c r="K402" s="289" t="s">
        <v>1731</v>
      </c>
      <c r="L402" s="288" t="s">
        <v>1828</v>
      </c>
      <c r="M402" s="288" t="s">
        <v>1829</v>
      </c>
      <c r="N402" s="288" t="s">
        <v>1830</v>
      </c>
      <c r="O402" s="289" t="s">
        <v>2682</v>
      </c>
      <c r="P402" s="292"/>
    </row>
    <row r="403" spans="1:16" hidden="1" x14ac:dyDescent="0.25">
      <c r="A403" s="287" t="s">
        <v>2683</v>
      </c>
      <c r="B403" s="311" t="s">
        <v>2684</v>
      </c>
      <c r="C403" s="62"/>
      <c r="D403" s="288" t="s">
        <v>2685</v>
      </c>
      <c r="E403" s="288" t="s">
        <v>2686</v>
      </c>
      <c r="F403" s="289">
        <v>8000676547</v>
      </c>
      <c r="G403" s="290">
        <v>45889</v>
      </c>
      <c r="H403" s="291">
        <v>600000</v>
      </c>
      <c r="I403" s="291">
        <v>600000</v>
      </c>
      <c r="J403" s="291">
        <v>0</v>
      </c>
      <c r="K403" s="289" t="s">
        <v>1731</v>
      </c>
      <c r="L403" s="288" t="s">
        <v>1828</v>
      </c>
      <c r="M403" s="288" t="s">
        <v>1829</v>
      </c>
      <c r="N403" s="288" t="s">
        <v>1830</v>
      </c>
      <c r="O403" s="289" t="s">
        <v>1991</v>
      </c>
      <c r="P403" s="292"/>
    </row>
    <row r="404" spans="1:16" hidden="1" x14ac:dyDescent="0.25">
      <c r="A404" s="287" t="s">
        <v>2683</v>
      </c>
      <c r="B404" s="311" t="s">
        <v>2684</v>
      </c>
      <c r="C404" s="62"/>
      <c r="D404" s="288" t="s">
        <v>2685</v>
      </c>
      <c r="E404" s="288" t="s">
        <v>2687</v>
      </c>
      <c r="F404" s="289">
        <v>8000753122</v>
      </c>
      <c r="G404" s="290">
        <v>45904</v>
      </c>
      <c r="H404" s="291">
        <v>108295280.06999999</v>
      </c>
      <c r="I404" s="291">
        <v>108295280.06999999</v>
      </c>
      <c r="J404" s="291">
        <v>0</v>
      </c>
      <c r="K404" s="289" t="s">
        <v>1731</v>
      </c>
      <c r="L404" s="288" t="s">
        <v>1839</v>
      </c>
      <c r="M404" s="288" t="s">
        <v>1840</v>
      </c>
      <c r="N404" s="288" t="s">
        <v>1841</v>
      </c>
      <c r="O404" s="289" t="s">
        <v>2688</v>
      </c>
      <c r="P404" s="292"/>
    </row>
    <row r="405" spans="1:16" hidden="1" x14ac:dyDescent="0.25">
      <c r="A405" s="287" t="s">
        <v>2683</v>
      </c>
      <c r="B405" s="311" t="s">
        <v>2684</v>
      </c>
      <c r="C405" s="62"/>
      <c r="D405" s="288" t="s">
        <v>2685</v>
      </c>
      <c r="E405" s="288" t="s">
        <v>2687</v>
      </c>
      <c r="F405" s="289">
        <v>4000236162</v>
      </c>
      <c r="G405" s="290">
        <v>46078</v>
      </c>
      <c r="H405" s="291">
        <v>338344.87</v>
      </c>
      <c r="I405" s="291">
        <v>0</v>
      </c>
      <c r="J405" s="291">
        <v>0</v>
      </c>
      <c r="K405" s="289" t="s">
        <v>1731</v>
      </c>
      <c r="L405" s="288" t="s">
        <v>1754</v>
      </c>
      <c r="M405" s="288" t="s">
        <v>1755</v>
      </c>
      <c r="N405" s="288" t="s">
        <v>1751</v>
      </c>
      <c r="O405" s="289" t="s">
        <v>1787</v>
      </c>
      <c r="P405" s="292"/>
    </row>
    <row r="406" spans="1:16" hidden="1" x14ac:dyDescent="0.25">
      <c r="A406" s="287" t="s">
        <v>2689</v>
      </c>
      <c r="B406" s="311" t="s">
        <v>2182</v>
      </c>
      <c r="C406" s="62"/>
      <c r="D406" s="288" t="s">
        <v>2183</v>
      </c>
      <c r="E406" s="288"/>
      <c r="F406" s="289">
        <v>8701244789</v>
      </c>
      <c r="G406" s="290">
        <v>45478</v>
      </c>
      <c r="H406" s="291">
        <v>540</v>
      </c>
      <c r="I406" s="291">
        <v>540</v>
      </c>
      <c r="J406" s="291">
        <v>0</v>
      </c>
      <c r="K406" s="289" t="s">
        <v>1731</v>
      </c>
      <c r="L406" s="288" t="s">
        <v>1732</v>
      </c>
      <c r="M406" s="288" t="s">
        <v>1733</v>
      </c>
      <c r="N406" s="288" t="s">
        <v>1734</v>
      </c>
      <c r="O406" s="289" t="s">
        <v>1929</v>
      </c>
      <c r="P406" s="292"/>
    </row>
    <row r="407" spans="1:16" hidden="1" x14ac:dyDescent="0.25">
      <c r="A407" s="287" t="s">
        <v>2689</v>
      </c>
      <c r="B407" s="311" t="s">
        <v>2182</v>
      </c>
      <c r="C407" s="62"/>
      <c r="D407" s="288" t="s">
        <v>2183</v>
      </c>
      <c r="E407" s="288"/>
      <c r="F407" s="289">
        <v>8701244816</v>
      </c>
      <c r="G407" s="290">
        <v>45478</v>
      </c>
      <c r="H407" s="291">
        <v>2884</v>
      </c>
      <c r="I407" s="291">
        <v>2884</v>
      </c>
      <c r="J407" s="291">
        <v>0</v>
      </c>
      <c r="K407" s="289" t="s">
        <v>1731</v>
      </c>
      <c r="L407" s="288" t="s">
        <v>1732</v>
      </c>
      <c r="M407" s="288" t="s">
        <v>1733</v>
      </c>
      <c r="N407" s="288" t="s">
        <v>1734</v>
      </c>
      <c r="O407" s="289" t="s">
        <v>1929</v>
      </c>
      <c r="P407" s="292"/>
    </row>
    <row r="408" spans="1:16" hidden="1" x14ac:dyDescent="0.25">
      <c r="A408" s="287" t="s">
        <v>2689</v>
      </c>
      <c r="B408" s="311" t="s">
        <v>2182</v>
      </c>
      <c r="C408" s="62"/>
      <c r="D408" s="288" t="s">
        <v>2183</v>
      </c>
      <c r="E408" s="288" t="s">
        <v>1741</v>
      </c>
      <c r="F408" s="289">
        <v>8701714001</v>
      </c>
      <c r="G408" s="290">
        <v>46016</v>
      </c>
      <c r="H408" s="291">
        <v>40496.71</v>
      </c>
      <c r="I408" s="291">
        <v>40496.71</v>
      </c>
      <c r="J408" s="291">
        <v>0</v>
      </c>
      <c r="K408" s="289" t="s">
        <v>1731</v>
      </c>
      <c r="L408" s="288" t="s">
        <v>1732</v>
      </c>
      <c r="M408" s="288" t="s">
        <v>1733</v>
      </c>
      <c r="N408" s="288" t="s">
        <v>1734</v>
      </c>
      <c r="O408" s="289" t="s">
        <v>1874</v>
      </c>
      <c r="P408" s="292"/>
    </row>
    <row r="409" spans="1:16" hidden="1" x14ac:dyDescent="0.25">
      <c r="A409" s="287" t="s">
        <v>2690</v>
      </c>
      <c r="B409" s="311" t="s">
        <v>2691</v>
      </c>
      <c r="C409" s="62"/>
      <c r="D409" s="288" t="s">
        <v>2692</v>
      </c>
      <c r="E409" s="288" t="s">
        <v>1741</v>
      </c>
      <c r="F409" s="289">
        <v>8701762007</v>
      </c>
      <c r="G409" s="290">
        <v>46065</v>
      </c>
      <c r="H409" s="291">
        <v>95720.76</v>
      </c>
      <c r="I409" s="291">
        <v>0</v>
      </c>
      <c r="J409" s="291">
        <v>0</v>
      </c>
      <c r="K409" s="289" t="s">
        <v>1731</v>
      </c>
      <c r="L409" s="288" t="s">
        <v>1732</v>
      </c>
      <c r="M409" s="288" t="s">
        <v>1733</v>
      </c>
      <c r="N409" s="288" t="s">
        <v>1734</v>
      </c>
      <c r="O409" s="289" t="s">
        <v>2338</v>
      </c>
      <c r="P409" s="292"/>
    </row>
    <row r="410" spans="1:16" hidden="1" x14ac:dyDescent="0.25">
      <c r="A410" s="287" t="s">
        <v>2693</v>
      </c>
      <c r="B410" s="311" t="s">
        <v>2694</v>
      </c>
      <c r="C410" s="62"/>
      <c r="D410" s="288" t="s">
        <v>2695</v>
      </c>
      <c r="E410" s="288" t="s">
        <v>1741</v>
      </c>
      <c r="F410" s="289">
        <v>8701533557</v>
      </c>
      <c r="G410" s="290">
        <v>45799</v>
      </c>
      <c r="H410" s="291">
        <v>8380</v>
      </c>
      <c r="I410" s="291">
        <v>8380</v>
      </c>
      <c r="J410" s="291">
        <v>0</v>
      </c>
      <c r="K410" s="289" t="s">
        <v>1731</v>
      </c>
      <c r="L410" s="288" t="s">
        <v>1773</v>
      </c>
      <c r="M410" s="288" t="s">
        <v>1774</v>
      </c>
      <c r="N410" s="288" t="s">
        <v>1734</v>
      </c>
      <c r="O410" s="289" t="s">
        <v>1797</v>
      </c>
      <c r="P410" s="292"/>
    </row>
    <row r="411" spans="1:16" hidden="1" x14ac:dyDescent="0.25">
      <c r="A411" s="287" t="s">
        <v>2696</v>
      </c>
      <c r="B411" s="311" t="s">
        <v>2697</v>
      </c>
      <c r="C411" s="62"/>
      <c r="D411" s="288" t="s">
        <v>2698</v>
      </c>
      <c r="E411" s="288" t="s">
        <v>1741</v>
      </c>
      <c r="F411" s="289"/>
      <c r="G411" s="290">
        <v>45574</v>
      </c>
      <c r="H411" s="291">
        <v>1385.45</v>
      </c>
      <c r="I411" s="291">
        <v>1385.45</v>
      </c>
      <c r="J411" s="291">
        <v>0</v>
      </c>
      <c r="K411" s="289" t="s">
        <v>1731</v>
      </c>
      <c r="L411" s="288" t="s">
        <v>1732</v>
      </c>
      <c r="M411" s="288" t="s">
        <v>1733</v>
      </c>
      <c r="N411" s="288" t="s">
        <v>1734</v>
      </c>
      <c r="O411" s="289" t="s">
        <v>1791</v>
      </c>
      <c r="P411" s="292"/>
    </row>
    <row r="412" spans="1:16" hidden="1" x14ac:dyDescent="0.25">
      <c r="A412" s="287" t="s">
        <v>2699</v>
      </c>
      <c r="B412" s="311" t="s">
        <v>2700</v>
      </c>
      <c r="C412" s="62"/>
      <c r="D412" s="288" t="s">
        <v>2701</v>
      </c>
      <c r="E412" s="288" t="s">
        <v>1741</v>
      </c>
      <c r="F412" s="289"/>
      <c r="G412" s="290">
        <v>45503</v>
      </c>
      <c r="H412" s="291">
        <v>1600</v>
      </c>
      <c r="I412" s="291">
        <v>1600</v>
      </c>
      <c r="J412" s="291">
        <v>-1600</v>
      </c>
      <c r="K412" s="289" t="s">
        <v>1731</v>
      </c>
      <c r="L412" s="288" t="s">
        <v>1773</v>
      </c>
      <c r="M412" s="288" t="s">
        <v>1774</v>
      </c>
      <c r="N412" s="288" t="s">
        <v>1734</v>
      </c>
      <c r="O412" s="289" t="s">
        <v>1791</v>
      </c>
      <c r="P412" s="292"/>
    </row>
    <row r="413" spans="1:16" hidden="1" x14ac:dyDescent="0.25">
      <c r="A413" s="287" t="s">
        <v>2702</v>
      </c>
      <c r="B413" s="311" t="s">
        <v>2703</v>
      </c>
      <c r="C413" s="62"/>
      <c r="D413" s="288" t="s">
        <v>2704</v>
      </c>
      <c r="E413" s="288" t="s">
        <v>2705</v>
      </c>
      <c r="F413" s="289">
        <v>8000407787</v>
      </c>
      <c r="G413" s="290">
        <v>45148</v>
      </c>
      <c r="H413" s="291">
        <v>11222</v>
      </c>
      <c r="I413" s="291">
        <v>11222</v>
      </c>
      <c r="J413" s="291">
        <v>-11222</v>
      </c>
      <c r="K413" s="289" t="s">
        <v>1731</v>
      </c>
      <c r="L413" s="288" t="s">
        <v>2706</v>
      </c>
      <c r="M413" s="288" t="s">
        <v>2707</v>
      </c>
      <c r="N413" s="288" t="s">
        <v>1830</v>
      </c>
      <c r="O413" s="289" t="s">
        <v>2056</v>
      </c>
      <c r="P413" s="292"/>
    </row>
    <row r="414" spans="1:16" hidden="1" x14ac:dyDescent="0.25">
      <c r="A414" s="287" t="s">
        <v>2708</v>
      </c>
      <c r="B414" s="311" t="s">
        <v>2709</v>
      </c>
      <c r="C414" s="62"/>
      <c r="D414" s="288" t="s">
        <v>2710</v>
      </c>
      <c r="E414" s="288" t="s">
        <v>2711</v>
      </c>
      <c r="F414" s="289">
        <v>8000682908</v>
      </c>
      <c r="G414" s="290">
        <v>46016</v>
      </c>
      <c r="H414" s="291">
        <v>4840520.54</v>
      </c>
      <c r="I414" s="291">
        <v>4840520.54</v>
      </c>
      <c r="J414" s="291">
        <v>0</v>
      </c>
      <c r="K414" s="289" t="s">
        <v>1731</v>
      </c>
      <c r="L414" s="288" t="s">
        <v>1773</v>
      </c>
      <c r="M414" s="288" t="s">
        <v>1774</v>
      </c>
      <c r="N414" s="288" t="s">
        <v>1734</v>
      </c>
      <c r="O414" s="289" t="s">
        <v>2712</v>
      </c>
      <c r="P414" s="292"/>
    </row>
    <row r="415" spans="1:16" hidden="1" x14ac:dyDescent="0.25">
      <c r="A415" s="287" t="s">
        <v>2708</v>
      </c>
      <c r="B415" s="311" t="s">
        <v>2709</v>
      </c>
      <c r="C415" s="62"/>
      <c r="D415" s="288" t="s">
        <v>2710</v>
      </c>
      <c r="E415" s="288" t="s">
        <v>2713</v>
      </c>
      <c r="F415" s="289">
        <v>8000791918</v>
      </c>
      <c r="G415" s="290">
        <v>46016</v>
      </c>
      <c r="H415" s="291">
        <v>3259528.76</v>
      </c>
      <c r="I415" s="291">
        <v>3259528.76</v>
      </c>
      <c r="J415" s="291">
        <v>0</v>
      </c>
      <c r="K415" s="289" t="s">
        <v>1731</v>
      </c>
      <c r="L415" s="288" t="s">
        <v>1773</v>
      </c>
      <c r="M415" s="288" t="s">
        <v>1774</v>
      </c>
      <c r="N415" s="288" t="s">
        <v>1734</v>
      </c>
      <c r="O415" s="289" t="s">
        <v>2712</v>
      </c>
      <c r="P415" s="292"/>
    </row>
    <row r="416" spans="1:16" hidden="1" x14ac:dyDescent="0.25">
      <c r="A416" s="287" t="s">
        <v>2714</v>
      </c>
      <c r="B416" s="311" t="s">
        <v>63</v>
      </c>
      <c r="C416" s="62"/>
      <c r="D416" s="288" t="s">
        <v>2715</v>
      </c>
      <c r="E416" s="288" t="s">
        <v>1052</v>
      </c>
      <c r="F416" s="289">
        <v>8000764117</v>
      </c>
      <c r="G416" s="290">
        <v>45950</v>
      </c>
      <c r="H416" s="291">
        <v>600000</v>
      </c>
      <c r="I416" s="291">
        <v>600000</v>
      </c>
      <c r="J416" s="291">
        <v>0</v>
      </c>
      <c r="K416" s="289" t="s">
        <v>1731</v>
      </c>
      <c r="L416" s="288" t="s">
        <v>1828</v>
      </c>
      <c r="M416" s="288" t="s">
        <v>1829</v>
      </c>
      <c r="N416" s="288" t="s">
        <v>1830</v>
      </c>
      <c r="O416" s="289" t="s">
        <v>2261</v>
      </c>
      <c r="P416" s="292"/>
    </row>
    <row r="417" spans="1:17" hidden="1" x14ac:dyDescent="0.25">
      <c r="A417" s="287" t="s">
        <v>2716</v>
      </c>
      <c r="B417" s="311" t="s">
        <v>2717</v>
      </c>
      <c r="C417" s="62"/>
      <c r="D417" s="288" t="s">
        <v>2718</v>
      </c>
      <c r="E417" s="288" t="s">
        <v>1741</v>
      </c>
      <c r="F417" s="289">
        <v>8701762794</v>
      </c>
      <c r="G417" s="290">
        <v>46065</v>
      </c>
      <c r="H417" s="291">
        <v>1517.76</v>
      </c>
      <c r="I417" s="291">
        <v>1517.76</v>
      </c>
      <c r="J417" s="291">
        <v>0</v>
      </c>
      <c r="K417" s="289" t="s">
        <v>1731</v>
      </c>
      <c r="L417" s="288" t="s">
        <v>1732</v>
      </c>
      <c r="M417" s="288" t="s">
        <v>1733</v>
      </c>
      <c r="N417" s="288" t="s">
        <v>1734</v>
      </c>
      <c r="O417" s="289" t="s">
        <v>2719</v>
      </c>
      <c r="P417" s="292"/>
    </row>
    <row r="418" spans="1:17" hidden="1" x14ac:dyDescent="0.25">
      <c r="A418" s="287" t="s">
        <v>2716</v>
      </c>
      <c r="B418" s="311" t="s">
        <v>2717</v>
      </c>
      <c r="C418" s="62"/>
      <c r="D418" s="288" t="s">
        <v>2718</v>
      </c>
      <c r="E418" s="288" t="s">
        <v>1741</v>
      </c>
      <c r="F418" s="289">
        <v>8701670004</v>
      </c>
      <c r="G418" s="290">
        <v>45960</v>
      </c>
      <c r="H418" s="291">
        <v>0.02</v>
      </c>
      <c r="I418" s="291">
        <v>0.02</v>
      </c>
      <c r="J418" s="291">
        <v>0</v>
      </c>
      <c r="K418" s="289" t="s">
        <v>1731</v>
      </c>
      <c r="L418" s="288" t="s">
        <v>1732</v>
      </c>
      <c r="M418" s="288" t="s">
        <v>1733</v>
      </c>
      <c r="N418" s="288" t="s">
        <v>1734</v>
      </c>
      <c r="O418" s="289" t="s">
        <v>2719</v>
      </c>
      <c r="P418" s="292"/>
    </row>
    <row r="419" spans="1:17" hidden="1" x14ac:dyDescent="0.25">
      <c r="A419" s="287" t="s">
        <v>2720</v>
      </c>
      <c r="B419" s="311" t="s">
        <v>2721</v>
      </c>
      <c r="C419" s="62"/>
      <c r="D419" s="288" t="s">
        <v>2722</v>
      </c>
      <c r="E419" s="288" t="s">
        <v>1741</v>
      </c>
      <c r="F419" s="289"/>
      <c r="G419" s="290">
        <v>45544</v>
      </c>
      <c r="H419" s="291">
        <v>9310.76</v>
      </c>
      <c r="I419" s="291">
        <v>9310.76</v>
      </c>
      <c r="J419" s="291">
        <v>-9310.76</v>
      </c>
      <c r="K419" s="289" t="s">
        <v>1731</v>
      </c>
      <c r="L419" s="288" t="s">
        <v>1732</v>
      </c>
      <c r="M419" s="288" t="s">
        <v>1733</v>
      </c>
      <c r="N419" s="288" t="s">
        <v>1734</v>
      </c>
      <c r="O419" s="289" t="s">
        <v>1791</v>
      </c>
      <c r="P419" s="292"/>
    </row>
    <row r="420" spans="1:17" s="364" customFormat="1" ht="75" x14ac:dyDescent="0.25">
      <c r="A420" s="293" t="s">
        <v>2723</v>
      </c>
      <c r="B420" s="312" t="s">
        <v>131</v>
      </c>
      <c r="C420" s="216" t="s">
        <v>4461</v>
      </c>
      <c r="D420" s="294" t="s">
        <v>2724</v>
      </c>
      <c r="E420" s="294" t="s">
        <v>2725</v>
      </c>
      <c r="F420" s="295">
        <v>8000742235</v>
      </c>
      <c r="G420" s="296">
        <v>45825</v>
      </c>
      <c r="H420" s="297">
        <v>19378980.559999999</v>
      </c>
      <c r="I420" s="297">
        <v>19378980.559999999</v>
      </c>
      <c r="J420" s="297">
        <v>0</v>
      </c>
      <c r="K420" s="295" t="s">
        <v>1731</v>
      </c>
      <c r="L420" s="294" t="s">
        <v>1773</v>
      </c>
      <c r="M420" s="294" t="s">
        <v>1774</v>
      </c>
      <c r="N420" s="294" t="s">
        <v>1734</v>
      </c>
      <c r="O420" s="295" t="s">
        <v>2261</v>
      </c>
      <c r="P420" s="298"/>
      <c r="Q420" s="364">
        <v>1</v>
      </c>
    </row>
    <row r="421" spans="1:17" s="364" customFormat="1" ht="165" x14ac:dyDescent="0.25">
      <c r="A421" s="293" t="s">
        <v>2723</v>
      </c>
      <c r="B421" s="312" t="s">
        <v>131</v>
      </c>
      <c r="C421" s="216" t="s">
        <v>4442</v>
      </c>
      <c r="D421" s="294" t="s">
        <v>2724</v>
      </c>
      <c r="E421" s="294" t="s">
        <v>949</v>
      </c>
      <c r="F421" s="295">
        <v>8000752543</v>
      </c>
      <c r="G421" s="296">
        <v>45876</v>
      </c>
      <c r="H421" s="297">
        <v>31519557.359999999</v>
      </c>
      <c r="I421" s="297">
        <v>31519557.359999999</v>
      </c>
      <c r="J421" s="297">
        <v>0</v>
      </c>
      <c r="K421" s="295" t="s">
        <v>1731</v>
      </c>
      <c r="L421" s="294" t="s">
        <v>1773</v>
      </c>
      <c r="M421" s="294" t="s">
        <v>1774</v>
      </c>
      <c r="N421" s="294" t="s">
        <v>1734</v>
      </c>
      <c r="O421" s="295" t="s">
        <v>2726</v>
      </c>
      <c r="P421" s="298"/>
      <c r="Q421" s="364">
        <v>1</v>
      </c>
    </row>
    <row r="422" spans="1:17" hidden="1" x14ac:dyDescent="0.25">
      <c r="A422" s="287" t="s">
        <v>2727</v>
      </c>
      <c r="B422" s="311" t="s">
        <v>2728</v>
      </c>
      <c r="C422" s="62"/>
      <c r="D422" s="288" t="s">
        <v>2729</v>
      </c>
      <c r="E422" s="288"/>
      <c r="F422" s="289">
        <v>8701702571</v>
      </c>
      <c r="G422" s="290">
        <v>46002</v>
      </c>
      <c r="H422" s="291">
        <v>925</v>
      </c>
      <c r="I422" s="291">
        <v>925</v>
      </c>
      <c r="J422" s="291">
        <v>0</v>
      </c>
      <c r="K422" s="289" t="s">
        <v>1731</v>
      </c>
      <c r="L422" s="288" t="s">
        <v>1773</v>
      </c>
      <c r="M422" s="288" t="s">
        <v>1774</v>
      </c>
      <c r="N422" s="288" t="s">
        <v>1734</v>
      </c>
      <c r="O422" s="289" t="s">
        <v>2730</v>
      </c>
      <c r="P422" s="292"/>
    </row>
    <row r="423" spans="1:17" hidden="1" x14ac:dyDescent="0.25">
      <c r="A423" s="287" t="s">
        <v>2731</v>
      </c>
      <c r="B423" s="311" t="s">
        <v>2732</v>
      </c>
      <c r="C423" s="62"/>
      <c r="D423" s="288" t="s">
        <v>2733</v>
      </c>
      <c r="E423" s="288" t="s">
        <v>2734</v>
      </c>
      <c r="F423" s="289"/>
      <c r="G423" s="290">
        <v>45574</v>
      </c>
      <c r="H423" s="291">
        <v>252550</v>
      </c>
      <c r="I423" s="291">
        <v>252550</v>
      </c>
      <c r="J423" s="291">
        <v>-252550</v>
      </c>
      <c r="K423" s="289" t="s">
        <v>1731</v>
      </c>
      <c r="L423" s="288" t="s">
        <v>1732</v>
      </c>
      <c r="M423" s="288" t="s">
        <v>1733</v>
      </c>
      <c r="N423" s="288" t="s">
        <v>1734</v>
      </c>
      <c r="O423" s="289" t="s">
        <v>1791</v>
      </c>
      <c r="P423" s="292"/>
    </row>
    <row r="424" spans="1:17" hidden="1" x14ac:dyDescent="0.25">
      <c r="A424" s="287" t="s">
        <v>2735</v>
      </c>
      <c r="B424" s="311" t="s">
        <v>2736</v>
      </c>
      <c r="C424" s="62"/>
      <c r="D424" s="288" t="s">
        <v>2737</v>
      </c>
      <c r="E424" s="288" t="s">
        <v>2738</v>
      </c>
      <c r="F424" s="289">
        <v>4000196135</v>
      </c>
      <c r="G424" s="290">
        <v>46078</v>
      </c>
      <c r="H424" s="291">
        <v>100437.25</v>
      </c>
      <c r="I424" s="291">
        <v>81256.31</v>
      </c>
      <c r="J424" s="291">
        <v>0</v>
      </c>
      <c r="K424" s="289" t="s">
        <v>1731</v>
      </c>
      <c r="L424" s="288" t="s">
        <v>1754</v>
      </c>
      <c r="M424" s="288" t="s">
        <v>1755</v>
      </c>
      <c r="N424" s="288" t="s">
        <v>1751</v>
      </c>
      <c r="O424" s="289" t="s">
        <v>1787</v>
      </c>
      <c r="P424" s="292"/>
    </row>
    <row r="425" spans="1:17" hidden="1" x14ac:dyDescent="0.25">
      <c r="A425" s="287" t="s">
        <v>2735</v>
      </c>
      <c r="B425" s="311" t="s">
        <v>2736</v>
      </c>
      <c r="C425" s="62"/>
      <c r="D425" s="288" t="s">
        <v>2737</v>
      </c>
      <c r="E425" s="288" t="s">
        <v>2739</v>
      </c>
      <c r="F425" s="289">
        <v>8000753392</v>
      </c>
      <c r="G425" s="290">
        <v>45897</v>
      </c>
      <c r="H425" s="291">
        <v>9339060.3699999992</v>
      </c>
      <c r="I425" s="291">
        <v>9339060.3699999992</v>
      </c>
      <c r="J425" s="291">
        <v>0</v>
      </c>
      <c r="K425" s="289" t="s">
        <v>1731</v>
      </c>
      <c r="L425" s="288" t="s">
        <v>1773</v>
      </c>
      <c r="M425" s="288" t="s">
        <v>1774</v>
      </c>
      <c r="N425" s="288" t="s">
        <v>1734</v>
      </c>
      <c r="O425" s="289" t="s">
        <v>2740</v>
      </c>
      <c r="P425" s="292"/>
    </row>
    <row r="426" spans="1:17" hidden="1" x14ac:dyDescent="0.25">
      <c r="A426" s="287" t="s">
        <v>2735</v>
      </c>
      <c r="B426" s="311" t="s">
        <v>2736</v>
      </c>
      <c r="C426" s="62"/>
      <c r="D426" s="288" t="s">
        <v>2737</v>
      </c>
      <c r="E426" s="288" t="s">
        <v>2741</v>
      </c>
      <c r="F426" s="289">
        <v>8000761172</v>
      </c>
      <c r="G426" s="290">
        <v>45911</v>
      </c>
      <c r="H426" s="291">
        <v>11802143.880000001</v>
      </c>
      <c r="I426" s="291">
        <v>11802143.880000001</v>
      </c>
      <c r="J426" s="291">
        <v>0</v>
      </c>
      <c r="K426" s="289" t="s">
        <v>1731</v>
      </c>
      <c r="L426" s="288" t="s">
        <v>1773</v>
      </c>
      <c r="M426" s="288" t="s">
        <v>1774</v>
      </c>
      <c r="N426" s="288" t="s">
        <v>1734</v>
      </c>
      <c r="O426" s="289" t="s">
        <v>2742</v>
      </c>
      <c r="P426" s="292"/>
    </row>
    <row r="427" spans="1:17" hidden="1" x14ac:dyDescent="0.25">
      <c r="A427" s="287" t="s">
        <v>2735</v>
      </c>
      <c r="B427" s="311" t="s">
        <v>2736</v>
      </c>
      <c r="C427" s="62"/>
      <c r="D427" s="288" t="s">
        <v>2737</v>
      </c>
      <c r="E427" s="288" t="s">
        <v>2743</v>
      </c>
      <c r="F427" s="289">
        <v>8000760502</v>
      </c>
      <c r="G427" s="290">
        <v>45937</v>
      </c>
      <c r="H427" s="291">
        <v>2395714.6800000002</v>
      </c>
      <c r="I427" s="291">
        <v>2395714.6800000002</v>
      </c>
      <c r="J427" s="291">
        <v>0</v>
      </c>
      <c r="K427" s="289" t="s">
        <v>1731</v>
      </c>
      <c r="L427" s="288" t="s">
        <v>1773</v>
      </c>
      <c r="M427" s="288" t="s">
        <v>1774</v>
      </c>
      <c r="N427" s="288" t="s">
        <v>1734</v>
      </c>
      <c r="O427" s="289" t="s">
        <v>2688</v>
      </c>
      <c r="P427" s="292"/>
    </row>
    <row r="428" spans="1:17" hidden="1" x14ac:dyDescent="0.25">
      <c r="A428" s="287" t="s">
        <v>2744</v>
      </c>
      <c r="B428" s="311" t="s">
        <v>2745</v>
      </c>
      <c r="C428" s="62"/>
      <c r="D428" s="288" t="s">
        <v>2746</v>
      </c>
      <c r="E428" s="288"/>
      <c r="F428" s="289">
        <v>8701716693</v>
      </c>
      <c r="G428" s="290">
        <v>46009</v>
      </c>
      <c r="H428" s="291">
        <v>1598</v>
      </c>
      <c r="I428" s="291">
        <v>0</v>
      </c>
      <c r="J428" s="291">
        <v>0</v>
      </c>
      <c r="K428" s="289" t="s">
        <v>1731</v>
      </c>
      <c r="L428" s="288" t="s">
        <v>1732</v>
      </c>
      <c r="M428" s="288" t="s">
        <v>1733</v>
      </c>
      <c r="N428" s="288" t="s">
        <v>1734</v>
      </c>
      <c r="O428" s="289" t="s">
        <v>2031</v>
      </c>
      <c r="P428" s="292"/>
    </row>
    <row r="429" spans="1:17" hidden="1" x14ac:dyDescent="0.25">
      <c r="A429" s="287" t="s">
        <v>2744</v>
      </c>
      <c r="B429" s="311" t="s">
        <v>2745</v>
      </c>
      <c r="C429" s="62"/>
      <c r="D429" s="288" t="s">
        <v>2746</v>
      </c>
      <c r="E429" s="288"/>
      <c r="F429" s="289"/>
      <c r="G429" s="290">
        <v>45547</v>
      </c>
      <c r="H429" s="291">
        <v>29595</v>
      </c>
      <c r="I429" s="291">
        <v>29595</v>
      </c>
      <c r="J429" s="291">
        <v>-29595</v>
      </c>
      <c r="K429" s="289" t="s">
        <v>1731</v>
      </c>
      <c r="L429" s="288" t="s">
        <v>1732</v>
      </c>
      <c r="M429" s="288" t="s">
        <v>1733</v>
      </c>
      <c r="N429" s="288" t="s">
        <v>1734</v>
      </c>
      <c r="O429" s="289" t="s">
        <v>1791</v>
      </c>
      <c r="P429" s="292"/>
    </row>
    <row r="430" spans="1:17" hidden="1" x14ac:dyDescent="0.25">
      <c r="A430" s="287" t="s">
        <v>2747</v>
      </c>
      <c r="B430" s="311" t="s">
        <v>2748</v>
      </c>
      <c r="C430" s="62"/>
      <c r="D430" s="288" t="s">
        <v>2749</v>
      </c>
      <c r="E430" s="288" t="s">
        <v>2750</v>
      </c>
      <c r="F430" s="289">
        <v>4000236167</v>
      </c>
      <c r="G430" s="290">
        <v>46078</v>
      </c>
      <c r="H430" s="291">
        <v>48069.24</v>
      </c>
      <c r="I430" s="291">
        <v>0</v>
      </c>
      <c r="J430" s="291">
        <v>0</v>
      </c>
      <c r="K430" s="289" t="s">
        <v>1731</v>
      </c>
      <c r="L430" s="288" t="s">
        <v>1754</v>
      </c>
      <c r="M430" s="288" t="s">
        <v>1755</v>
      </c>
      <c r="N430" s="288" t="s">
        <v>1751</v>
      </c>
      <c r="O430" s="289" t="s">
        <v>1787</v>
      </c>
      <c r="P430" s="292"/>
    </row>
    <row r="431" spans="1:17" hidden="1" x14ac:dyDescent="0.25">
      <c r="A431" s="287" t="s">
        <v>2751</v>
      </c>
      <c r="B431" s="311" t="s">
        <v>2752</v>
      </c>
      <c r="C431" s="62"/>
      <c r="D431" s="288" t="s">
        <v>2753</v>
      </c>
      <c r="E431" s="288"/>
      <c r="F431" s="289"/>
      <c r="G431" s="290">
        <v>45651</v>
      </c>
      <c r="H431" s="291">
        <v>20000</v>
      </c>
      <c r="I431" s="291">
        <v>20000</v>
      </c>
      <c r="J431" s="291">
        <v>-20000</v>
      </c>
      <c r="K431" s="289" t="s">
        <v>1731</v>
      </c>
      <c r="L431" s="288" t="s">
        <v>1773</v>
      </c>
      <c r="M431" s="288" t="s">
        <v>1774</v>
      </c>
      <c r="N431" s="288" t="s">
        <v>1734</v>
      </c>
      <c r="O431" s="289" t="s">
        <v>1791</v>
      </c>
      <c r="P431" s="292"/>
    </row>
    <row r="432" spans="1:17" hidden="1" x14ac:dyDescent="0.25">
      <c r="A432" s="287" t="s">
        <v>2754</v>
      </c>
      <c r="B432" s="311" t="s">
        <v>2755</v>
      </c>
      <c r="C432" s="62"/>
      <c r="D432" s="288" t="s">
        <v>2756</v>
      </c>
      <c r="E432" s="288" t="s">
        <v>2757</v>
      </c>
      <c r="F432" s="289">
        <v>8000559131</v>
      </c>
      <c r="G432" s="290">
        <v>45982</v>
      </c>
      <c r="H432" s="291">
        <v>2736000</v>
      </c>
      <c r="I432" s="291">
        <v>2736000</v>
      </c>
      <c r="J432" s="291">
        <v>0</v>
      </c>
      <c r="K432" s="289" t="s">
        <v>1731</v>
      </c>
      <c r="L432" s="288" t="s">
        <v>1828</v>
      </c>
      <c r="M432" s="288" t="s">
        <v>1829</v>
      </c>
      <c r="N432" s="288" t="s">
        <v>1830</v>
      </c>
      <c r="O432" s="289" t="s">
        <v>1925</v>
      </c>
      <c r="P432" s="292"/>
    </row>
    <row r="433" spans="1:17" hidden="1" x14ac:dyDescent="0.25">
      <c r="A433" s="287" t="s">
        <v>2758</v>
      </c>
      <c r="B433" s="311" t="s">
        <v>2759</v>
      </c>
      <c r="C433" s="62"/>
      <c r="D433" s="288" t="s">
        <v>2760</v>
      </c>
      <c r="E433" s="288" t="s">
        <v>2761</v>
      </c>
      <c r="F433" s="289">
        <v>8000446207</v>
      </c>
      <c r="G433" s="290">
        <v>45792</v>
      </c>
      <c r="H433" s="291">
        <v>270000</v>
      </c>
      <c r="I433" s="291">
        <v>270000</v>
      </c>
      <c r="J433" s="291">
        <v>-270000</v>
      </c>
      <c r="K433" s="289" t="s">
        <v>1731</v>
      </c>
      <c r="L433" s="288" t="s">
        <v>1773</v>
      </c>
      <c r="M433" s="288" t="s">
        <v>1774</v>
      </c>
      <c r="N433" s="288" t="s">
        <v>1734</v>
      </c>
      <c r="O433" s="289" t="s">
        <v>2762</v>
      </c>
      <c r="P433" s="292"/>
    </row>
    <row r="434" spans="1:17" hidden="1" x14ac:dyDescent="0.25">
      <c r="A434" s="287" t="s">
        <v>2763</v>
      </c>
      <c r="B434" s="311" t="s">
        <v>2764</v>
      </c>
      <c r="C434" s="62"/>
      <c r="D434" s="288" t="s">
        <v>2765</v>
      </c>
      <c r="E434" s="288" t="s">
        <v>1741</v>
      </c>
      <c r="F434" s="289"/>
      <c r="G434" s="290">
        <v>45565</v>
      </c>
      <c r="H434" s="291">
        <v>10600</v>
      </c>
      <c r="I434" s="291">
        <v>10600</v>
      </c>
      <c r="J434" s="291">
        <v>-10600</v>
      </c>
      <c r="K434" s="289" t="s">
        <v>1731</v>
      </c>
      <c r="L434" s="288" t="s">
        <v>1773</v>
      </c>
      <c r="M434" s="288" t="s">
        <v>1774</v>
      </c>
      <c r="N434" s="288" t="s">
        <v>1734</v>
      </c>
      <c r="O434" s="289" t="s">
        <v>1791</v>
      </c>
      <c r="P434" s="292"/>
    </row>
    <row r="435" spans="1:17" hidden="1" x14ac:dyDescent="0.25">
      <c r="A435" s="287" t="s">
        <v>2766</v>
      </c>
      <c r="B435" s="311" t="s">
        <v>2767</v>
      </c>
      <c r="C435" s="62"/>
      <c r="D435" s="288" t="s">
        <v>2768</v>
      </c>
      <c r="E435" s="288" t="s">
        <v>2769</v>
      </c>
      <c r="F435" s="289">
        <v>4000228825</v>
      </c>
      <c r="G435" s="290">
        <v>45565</v>
      </c>
      <c r="H435" s="291">
        <v>39270</v>
      </c>
      <c r="I435" s="291">
        <v>39270</v>
      </c>
      <c r="J435" s="291">
        <v>0</v>
      </c>
      <c r="K435" s="289" t="s">
        <v>1731</v>
      </c>
      <c r="L435" s="288" t="s">
        <v>1754</v>
      </c>
      <c r="M435" s="288" t="s">
        <v>1755</v>
      </c>
      <c r="N435" s="288" t="s">
        <v>1751</v>
      </c>
      <c r="O435" s="289" t="s">
        <v>2129</v>
      </c>
      <c r="P435" s="292"/>
    </row>
    <row r="436" spans="1:17" hidden="1" x14ac:dyDescent="0.25">
      <c r="A436" s="287" t="s">
        <v>2770</v>
      </c>
      <c r="B436" s="311" t="s">
        <v>2771</v>
      </c>
      <c r="C436" s="62"/>
      <c r="D436" s="288" t="s">
        <v>2772</v>
      </c>
      <c r="E436" s="288" t="s">
        <v>2773</v>
      </c>
      <c r="F436" s="289"/>
      <c r="G436" s="290">
        <v>45286</v>
      </c>
      <c r="H436" s="291">
        <v>539539.11</v>
      </c>
      <c r="I436" s="291">
        <v>539539.11</v>
      </c>
      <c r="J436" s="291">
        <v>-539539.11</v>
      </c>
      <c r="K436" s="289" t="s">
        <v>1731</v>
      </c>
      <c r="L436" s="288" t="s">
        <v>2706</v>
      </c>
      <c r="M436" s="288" t="s">
        <v>2707</v>
      </c>
      <c r="N436" s="288" t="s">
        <v>1830</v>
      </c>
      <c r="O436" s="289" t="s">
        <v>1791</v>
      </c>
      <c r="P436" s="292"/>
    </row>
    <row r="437" spans="1:17" hidden="1" x14ac:dyDescent="0.25">
      <c r="A437" s="287" t="s">
        <v>2774</v>
      </c>
      <c r="B437" s="311" t="s">
        <v>133</v>
      </c>
      <c r="C437" s="62"/>
      <c r="D437" s="288" t="s">
        <v>2775</v>
      </c>
      <c r="E437" s="288" t="s">
        <v>2776</v>
      </c>
      <c r="F437" s="289">
        <v>8000660666</v>
      </c>
      <c r="G437" s="290">
        <v>45598</v>
      </c>
      <c r="H437" s="291">
        <v>300000</v>
      </c>
      <c r="I437" s="291">
        <v>300000</v>
      </c>
      <c r="J437" s="291">
        <v>-77142.5</v>
      </c>
      <c r="K437" s="289" t="s">
        <v>1731</v>
      </c>
      <c r="L437" s="288" t="s">
        <v>1828</v>
      </c>
      <c r="M437" s="288" t="s">
        <v>1829</v>
      </c>
      <c r="N437" s="288" t="s">
        <v>1830</v>
      </c>
      <c r="O437" s="289" t="s">
        <v>2268</v>
      </c>
      <c r="P437" s="292"/>
    </row>
    <row r="438" spans="1:17" hidden="1" x14ac:dyDescent="0.25">
      <c r="A438" s="287" t="s">
        <v>2777</v>
      </c>
      <c r="B438" s="311" t="s">
        <v>323</v>
      </c>
      <c r="C438" s="62"/>
      <c r="D438" s="288" t="s">
        <v>2778</v>
      </c>
      <c r="E438" s="288" t="s">
        <v>2779</v>
      </c>
      <c r="F438" s="289">
        <v>8000702859</v>
      </c>
      <c r="G438" s="290">
        <v>46048</v>
      </c>
      <c r="H438" s="291">
        <v>2100000</v>
      </c>
      <c r="I438" s="291">
        <v>2100000</v>
      </c>
      <c r="J438" s="291">
        <v>0</v>
      </c>
      <c r="K438" s="289" t="s">
        <v>1731</v>
      </c>
      <c r="L438" s="288" t="s">
        <v>1828</v>
      </c>
      <c r="M438" s="288" t="s">
        <v>1829</v>
      </c>
      <c r="N438" s="288" t="s">
        <v>1830</v>
      </c>
      <c r="O438" s="289" t="s">
        <v>2726</v>
      </c>
      <c r="P438" s="292"/>
    </row>
    <row r="439" spans="1:17" hidden="1" x14ac:dyDescent="0.25">
      <c r="A439" s="287" t="s">
        <v>2780</v>
      </c>
      <c r="B439" s="311" t="s">
        <v>2781</v>
      </c>
      <c r="C439" s="62"/>
      <c r="D439" s="288" t="s">
        <v>2782</v>
      </c>
      <c r="E439" s="288" t="s">
        <v>2783</v>
      </c>
      <c r="F439" s="289">
        <v>8000725690</v>
      </c>
      <c r="G439" s="290">
        <v>45610</v>
      </c>
      <c r="H439" s="291">
        <v>235300</v>
      </c>
      <c r="I439" s="291">
        <v>235300</v>
      </c>
      <c r="J439" s="291">
        <v>-235300</v>
      </c>
      <c r="K439" s="289" t="s">
        <v>1731</v>
      </c>
      <c r="L439" s="288" t="s">
        <v>1773</v>
      </c>
      <c r="M439" s="288" t="s">
        <v>1774</v>
      </c>
      <c r="N439" s="288" t="s">
        <v>1734</v>
      </c>
      <c r="O439" s="289" t="s">
        <v>2129</v>
      </c>
      <c r="P439" s="292"/>
    </row>
    <row r="440" spans="1:17" hidden="1" x14ac:dyDescent="0.25">
      <c r="A440" s="287" t="s">
        <v>2784</v>
      </c>
      <c r="B440" s="311" t="s">
        <v>2785</v>
      </c>
      <c r="C440" s="62"/>
      <c r="D440" s="288" t="s">
        <v>2786</v>
      </c>
      <c r="E440" s="288" t="s">
        <v>2787</v>
      </c>
      <c r="F440" s="289">
        <v>8000725707</v>
      </c>
      <c r="G440" s="290">
        <v>45694</v>
      </c>
      <c r="H440" s="291">
        <v>130740</v>
      </c>
      <c r="I440" s="291">
        <v>130740</v>
      </c>
      <c r="J440" s="291">
        <v>0</v>
      </c>
      <c r="K440" s="289" t="s">
        <v>1731</v>
      </c>
      <c r="L440" s="288" t="s">
        <v>1732</v>
      </c>
      <c r="M440" s="288" t="s">
        <v>1733</v>
      </c>
      <c r="N440" s="288" t="s">
        <v>1734</v>
      </c>
      <c r="O440" s="289" t="s">
        <v>2788</v>
      </c>
      <c r="P440" s="292"/>
    </row>
    <row r="441" spans="1:17" hidden="1" x14ac:dyDescent="0.25">
      <c r="A441" s="287" t="s">
        <v>2789</v>
      </c>
      <c r="B441" s="311" t="s">
        <v>2790</v>
      </c>
      <c r="C441" s="62"/>
      <c r="D441" s="288" t="s">
        <v>2791</v>
      </c>
      <c r="E441" s="288" t="s">
        <v>1741</v>
      </c>
      <c r="F441" s="289"/>
      <c r="G441" s="290">
        <v>45310</v>
      </c>
      <c r="H441" s="291">
        <v>3200</v>
      </c>
      <c r="I441" s="291">
        <v>3200</v>
      </c>
      <c r="J441" s="291">
        <v>-3200</v>
      </c>
      <c r="K441" s="289" t="s">
        <v>1731</v>
      </c>
      <c r="L441" s="288" t="s">
        <v>1773</v>
      </c>
      <c r="M441" s="288" t="s">
        <v>1774</v>
      </c>
      <c r="N441" s="288" t="s">
        <v>1734</v>
      </c>
      <c r="O441" s="289" t="s">
        <v>1791</v>
      </c>
      <c r="P441" s="292"/>
    </row>
    <row r="442" spans="1:17" s="364" customFormat="1" ht="45" x14ac:dyDescent="0.25">
      <c r="A442" s="367" t="s">
        <v>2792</v>
      </c>
      <c r="B442" s="373" t="s">
        <v>2793</v>
      </c>
      <c r="C442" s="368" t="s">
        <v>1685</v>
      </c>
      <c r="D442" s="366" t="s">
        <v>2794</v>
      </c>
      <c r="E442" s="366" t="s">
        <v>680</v>
      </c>
      <c r="F442" s="369">
        <v>8000747576</v>
      </c>
      <c r="G442" s="370">
        <v>45897</v>
      </c>
      <c r="H442" s="371">
        <v>9611829.8800000008</v>
      </c>
      <c r="I442" s="371">
        <v>9611829.8800000008</v>
      </c>
      <c r="J442" s="371">
        <v>0</v>
      </c>
      <c r="K442" s="369" t="s">
        <v>1731</v>
      </c>
      <c r="L442" s="366" t="s">
        <v>1773</v>
      </c>
      <c r="M442" s="366" t="s">
        <v>1774</v>
      </c>
      <c r="N442" s="366" t="s">
        <v>1734</v>
      </c>
      <c r="O442" s="369" t="s">
        <v>2795</v>
      </c>
      <c r="P442" s="372"/>
      <c r="Q442" s="364">
        <v>1</v>
      </c>
    </row>
    <row r="443" spans="1:17" hidden="1" x14ac:dyDescent="0.25">
      <c r="A443" s="287" t="s">
        <v>2796</v>
      </c>
      <c r="B443" s="311" t="s">
        <v>2797</v>
      </c>
      <c r="C443" s="62"/>
      <c r="D443" s="288" t="s">
        <v>2798</v>
      </c>
      <c r="E443" s="288" t="s">
        <v>1741</v>
      </c>
      <c r="F443" s="289">
        <v>8701712679</v>
      </c>
      <c r="G443" s="290">
        <v>46016</v>
      </c>
      <c r="H443" s="291">
        <v>21002</v>
      </c>
      <c r="I443" s="291">
        <v>21002</v>
      </c>
      <c r="J443" s="291">
        <v>0</v>
      </c>
      <c r="K443" s="289" t="s">
        <v>1731</v>
      </c>
      <c r="L443" s="288" t="s">
        <v>1773</v>
      </c>
      <c r="M443" s="288" t="s">
        <v>1774</v>
      </c>
      <c r="N443" s="288" t="s">
        <v>1734</v>
      </c>
      <c r="O443" s="289" t="s">
        <v>1914</v>
      </c>
      <c r="P443" s="292"/>
    </row>
    <row r="444" spans="1:17" hidden="1" x14ac:dyDescent="0.25">
      <c r="A444" s="287" t="s">
        <v>2799</v>
      </c>
      <c r="B444" s="311" t="s">
        <v>2800</v>
      </c>
      <c r="C444" s="62"/>
      <c r="D444" s="288" t="s">
        <v>2801</v>
      </c>
      <c r="E444" s="288" t="s">
        <v>2802</v>
      </c>
      <c r="F444" s="289">
        <v>8000726040</v>
      </c>
      <c r="G444" s="290">
        <v>45673</v>
      </c>
      <c r="H444" s="291">
        <v>1500</v>
      </c>
      <c r="I444" s="291">
        <v>1500</v>
      </c>
      <c r="J444" s="291">
        <v>0</v>
      </c>
      <c r="K444" s="289" t="s">
        <v>1731</v>
      </c>
      <c r="L444" s="288" t="s">
        <v>1773</v>
      </c>
      <c r="M444" s="288" t="s">
        <v>1774</v>
      </c>
      <c r="N444" s="288" t="s">
        <v>1734</v>
      </c>
      <c r="O444" s="289" t="s">
        <v>2803</v>
      </c>
      <c r="P444" s="292"/>
    </row>
    <row r="445" spans="1:17" hidden="1" x14ac:dyDescent="0.25">
      <c r="A445" s="287" t="s">
        <v>2799</v>
      </c>
      <c r="B445" s="311" t="s">
        <v>2800</v>
      </c>
      <c r="C445" s="62"/>
      <c r="D445" s="288" t="s">
        <v>2801</v>
      </c>
      <c r="E445" s="288" t="s">
        <v>2804</v>
      </c>
      <c r="F445" s="289">
        <v>8000726127</v>
      </c>
      <c r="G445" s="290">
        <v>45925</v>
      </c>
      <c r="H445" s="291">
        <v>29200.06</v>
      </c>
      <c r="I445" s="291">
        <v>29200.06</v>
      </c>
      <c r="J445" s="291">
        <v>0</v>
      </c>
      <c r="K445" s="289" t="s">
        <v>1731</v>
      </c>
      <c r="L445" s="288" t="s">
        <v>1773</v>
      </c>
      <c r="M445" s="288" t="s">
        <v>1774</v>
      </c>
      <c r="N445" s="288" t="s">
        <v>1734</v>
      </c>
      <c r="O445" s="289" t="s">
        <v>2803</v>
      </c>
      <c r="P445" s="292"/>
    </row>
    <row r="446" spans="1:17" hidden="1" x14ac:dyDescent="0.25">
      <c r="A446" s="287" t="s">
        <v>2805</v>
      </c>
      <c r="B446" s="311" t="s">
        <v>2806</v>
      </c>
      <c r="C446" s="62"/>
      <c r="D446" s="288" t="s">
        <v>2807</v>
      </c>
      <c r="E446" s="288" t="s">
        <v>2808</v>
      </c>
      <c r="F446" s="289">
        <v>8000420811</v>
      </c>
      <c r="G446" s="290">
        <v>45993</v>
      </c>
      <c r="H446" s="291">
        <v>1815441</v>
      </c>
      <c r="I446" s="291">
        <v>1815441</v>
      </c>
      <c r="J446" s="291">
        <v>0</v>
      </c>
      <c r="K446" s="289" t="s">
        <v>1731</v>
      </c>
      <c r="L446" s="288" t="s">
        <v>1828</v>
      </c>
      <c r="M446" s="288" t="s">
        <v>1829</v>
      </c>
      <c r="N446" s="288" t="s">
        <v>1830</v>
      </c>
      <c r="O446" s="289" t="s">
        <v>1768</v>
      </c>
      <c r="P446" s="292"/>
    </row>
    <row r="447" spans="1:17" hidden="1" x14ac:dyDescent="0.25">
      <c r="A447" s="287" t="s">
        <v>2809</v>
      </c>
      <c r="B447" s="311" t="s">
        <v>2810</v>
      </c>
      <c r="C447" s="62"/>
      <c r="D447" s="288" t="s">
        <v>2811</v>
      </c>
      <c r="E447" s="288" t="s">
        <v>2808</v>
      </c>
      <c r="F447" s="289">
        <v>8000420811</v>
      </c>
      <c r="G447" s="290">
        <v>45995</v>
      </c>
      <c r="H447" s="291">
        <v>7101864.25</v>
      </c>
      <c r="I447" s="291">
        <v>7101864.25</v>
      </c>
      <c r="J447" s="291">
        <v>-5782443.1299999999</v>
      </c>
      <c r="K447" s="289" t="s">
        <v>1731</v>
      </c>
      <c r="L447" s="288" t="s">
        <v>1828</v>
      </c>
      <c r="M447" s="288" t="s">
        <v>1829</v>
      </c>
      <c r="N447" s="288" t="s">
        <v>1830</v>
      </c>
      <c r="O447" s="289" t="s">
        <v>1768</v>
      </c>
      <c r="P447" s="292"/>
    </row>
    <row r="448" spans="1:17" hidden="1" x14ac:dyDescent="0.25">
      <c r="A448" s="287" t="s">
        <v>2812</v>
      </c>
      <c r="B448" s="311" t="s">
        <v>2813</v>
      </c>
      <c r="C448" s="62"/>
      <c r="D448" s="288" t="s">
        <v>2814</v>
      </c>
      <c r="E448" s="288" t="s">
        <v>1741</v>
      </c>
      <c r="F448" s="289">
        <v>8701742174</v>
      </c>
      <c r="G448" s="290">
        <v>46041</v>
      </c>
      <c r="H448" s="291">
        <v>32579</v>
      </c>
      <c r="I448" s="291">
        <v>32579</v>
      </c>
      <c r="J448" s="291">
        <v>0</v>
      </c>
      <c r="K448" s="289" t="s">
        <v>1731</v>
      </c>
      <c r="L448" s="288" t="s">
        <v>1773</v>
      </c>
      <c r="M448" s="288" t="s">
        <v>1774</v>
      </c>
      <c r="N448" s="288" t="s">
        <v>1734</v>
      </c>
      <c r="O448" s="289" t="s">
        <v>1797</v>
      </c>
      <c r="P448" s="292"/>
    </row>
    <row r="449" spans="1:16" hidden="1" x14ac:dyDescent="0.25">
      <c r="A449" s="287" t="s">
        <v>2815</v>
      </c>
      <c r="B449" s="311" t="s">
        <v>2816</v>
      </c>
      <c r="C449" s="62"/>
      <c r="D449" s="288" t="s">
        <v>2817</v>
      </c>
      <c r="E449" s="288"/>
      <c r="F449" s="289">
        <v>8701299661</v>
      </c>
      <c r="G449" s="290">
        <v>45553</v>
      </c>
      <c r="H449" s="291">
        <v>26280</v>
      </c>
      <c r="I449" s="291">
        <v>26280</v>
      </c>
      <c r="J449" s="291">
        <v>-26280</v>
      </c>
      <c r="K449" s="289" t="s">
        <v>1731</v>
      </c>
      <c r="L449" s="288" t="s">
        <v>1732</v>
      </c>
      <c r="M449" s="288" t="s">
        <v>1733</v>
      </c>
      <c r="N449" s="288" t="s">
        <v>1734</v>
      </c>
      <c r="O449" s="289" t="s">
        <v>2818</v>
      </c>
      <c r="P449" s="292"/>
    </row>
    <row r="450" spans="1:16" hidden="1" x14ac:dyDescent="0.25">
      <c r="A450" s="287" t="s">
        <v>2819</v>
      </c>
      <c r="B450" s="311" t="s">
        <v>2820</v>
      </c>
      <c r="C450" s="62"/>
      <c r="D450" s="288" t="s">
        <v>2821</v>
      </c>
      <c r="E450" s="288" t="s">
        <v>2822</v>
      </c>
      <c r="F450" s="289">
        <v>8000733704</v>
      </c>
      <c r="G450" s="290">
        <v>46002</v>
      </c>
      <c r="H450" s="291">
        <v>4435661.3899999997</v>
      </c>
      <c r="I450" s="291">
        <v>4435661.3899999997</v>
      </c>
      <c r="J450" s="291">
        <v>0</v>
      </c>
      <c r="K450" s="289" t="s">
        <v>1731</v>
      </c>
      <c r="L450" s="288" t="s">
        <v>1773</v>
      </c>
      <c r="M450" s="288" t="s">
        <v>1774</v>
      </c>
      <c r="N450" s="288" t="s">
        <v>1734</v>
      </c>
      <c r="O450" s="289" t="s">
        <v>2153</v>
      </c>
      <c r="P450" s="292"/>
    </row>
    <row r="451" spans="1:16" hidden="1" x14ac:dyDescent="0.25">
      <c r="A451" s="287" t="s">
        <v>2823</v>
      </c>
      <c r="B451" s="311" t="s">
        <v>2824</v>
      </c>
      <c r="C451" s="62"/>
      <c r="D451" s="288" t="s">
        <v>2825</v>
      </c>
      <c r="E451" s="288" t="s">
        <v>2826</v>
      </c>
      <c r="F451" s="289">
        <v>4000230893</v>
      </c>
      <c r="G451" s="290">
        <v>46042</v>
      </c>
      <c r="H451" s="291">
        <v>333.35</v>
      </c>
      <c r="I451" s="291">
        <v>333.35</v>
      </c>
      <c r="J451" s="291">
        <v>0</v>
      </c>
      <c r="K451" s="289" t="s">
        <v>1731</v>
      </c>
      <c r="L451" s="288" t="s">
        <v>1749</v>
      </c>
      <c r="M451" s="288" t="s">
        <v>1750</v>
      </c>
      <c r="N451" s="288" t="s">
        <v>1751</v>
      </c>
      <c r="O451" s="289" t="s">
        <v>2827</v>
      </c>
      <c r="P451" s="292"/>
    </row>
    <row r="452" spans="1:16" hidden="1" x14ac:dyDescent="0.25">
      <c r="A452" s="287" t="s">
        <v>2823</v>
      </c>
      <c r="B452" s="311" t="s">
        <v>2824</v>
      </c>
      <c r="C452" s="62"/>
      <c r="D452" s="288" t="s">
        <v>2825</v>
      </c>
      <c r="E452" s="288" t="s">
        <v>2828</v>
      </c>
      <c r="F452" s="289">
        <v>4000233532</v>
      </c>
      <c r="G452" s="290">
        <v>46059</v>
      </c>
      <c r="H452" s="291">
        <v>77263.39</v>
      </c>
      <c r="I452" s="291">
        <v>77263.39</v>
      </c>
      <c r="J452" s="291">
        <v>0</v>
      </c>
      <c r="K452" s="289" t="s">
        <v>1731</v>
      </c>
      <c r="L452" s="288" t="s">
        <v>1749</v>
      </c>
      <c r="M452" s="288" t="s">
        <v>1750</v>
      </c>
      <c r="N452" s="288" t="s">
        <v>1751</v>
      </c>
      <c r="O452" s="289" t="s">
        <v>1752</v>
      </c>
      <c r="P452" s="292"/>
    </row>
    <row r="453" spans="1:16" hidden="1" x14ac:dyDescent="0.25">
      <c r="A453" s="287" t="s">
        <v>2829</v>
      </c>
      <c r="B453" s="311" t="s">
        <v>2830</v>
      </c>
      <c r="C453" s="62"/>
      <c r="D453" s="288" t="s">
        <v>2831</v>
      </c>
      <c r="E453" s="288" t="s">
        <v>1741</v>
      </c>
      <c r="F453" s="289"/>
      <c r="G453" s="290">
        <v>45555</v>
      </c>
      <c r="H453" s="291">
        <v>88606.61</v>
      </c>
      <c r="I453" s="291">
        <v>88606.61</v>
      </c>
      <c r="J453" s="291">
        <v>-88606.61</v>
      </c>
      <c r="K453" s="289" t="s">
        <v>1731</v>
      </c>
      <c r="L453" s="288" t="s">
        <v>1732</v>
      </c>
      <c r="M453" s="288" t="s">
        <v>1733</v>
      </c>
      <c r="N453" s="288" t="s">
        <v>1734</v>
      </c>
      <c r="O453" s="289" t="s">
        <v>1791</v>
      </c>
      <c r="P453" s="292"/>
    </row>
    <row r="454" spans="1:16" hidden="1" x14ac:dyDescent="0.25">
      <c r="A454" s="287" t="s">
        <v>2832</v>
      </c>
      <c r="B454" s="311" t="s">
        <v>2833</v>
      </c>
      <c r="C454" s="62"/>
      <c r="D454" s="288" t="s">
        <v>2834</v>
      </c>
      <c r="E454" s="288" t="s">
        <v>2835</v>
      </c>
      <c r="F454" s="289">
        <v>8000582368</v>
      </c>
      <c r="G454" s="290">
        <v>45229</v>
      </c>
      <c r="H454" s="291">
        <v>1360614.61</v>
      </c>
      <c r="I454" s="291">
        <v>1360614.61</v>
      </c>
      <c r="J454" s="291">
        <v>-1360614.61</v>
      </c>
      <c r="K454" s="289" t="s">
        <v>1731</v>
      </c>
      <c r="L454" s="288" t="s">
        <v>1773</v>
      </c>
      <c r="M454" s="288" t="s">
        <v>1774</v>
      </c>
      <c r="N454" s="288" t="s">
        <v>1734</v>
      </c>
      <c r="O454" s="289" t="s">
        <v>2836</v>
      </c>
      <c r="P454" s="292"/>
    </row>
    <row r="455" spans="1:16" hidden="1" x14ac:dyDescent="0.25">
      <c r="A455" s="287" t="s">
        <v>2837</v>
      </c>
      <c r="B455" s="311" t="s">
        <v>2838</v>
      </c>
      <c r="C455" s="62"/>
      <c r="D455" s="288" t="s">
        <v>2839</v>
      </c>
      <c r="E455" s="288" t="s">
        <v>1741</v>
      </c>
      <c r="F455" s="289"/>
      <c r="G455" s="290">
        <v>45565</v>
      </c>
      <c r="H455" s="291">
        <v>50089</v>
      </c>
      <c r="I455" s="291">
        <v>50089</v>
      </c>
      <c r="J455" s="291">
        <v>-50089</v>
      </c>
      <c r="K455" s="289" t="s">
        <v>1731</v>
      </c>
      <c r="L455" s="288" t="s">
        <v>1732</v>
      </c>
      <c r="M455" s="288" t="s">
        <v>1733</v>
      </c>
      <c r="N455" s="288" t="s">
        <v>1734</v>
      </c>
      <c r="O455" s="289" t="s">
        <v>1791</v>
      </c>
      <c r="P455" s="292"/>
    </row>
    <row r="456" spans="1:16" hidden="1" x14ac:dyDescent="0.25">
      <c r="A456" s="287" t="s">
        <v>2840</v>
      </c>
      <c r="B456" s="311" t="s">
        <v>2841</v>
      </c>
      <c r="C456" s="62"/>
      <c r="D456" s="288" t="s">
        <v>2842</v>
      </c>
      <c r="E456" s="288" t="s">
        <v>1741</v>
      </c>
      <c r="F456" s="289"/>
      <c r="G456" s="290">
        <v>45555</v>
      </c>
      <c r="H456" s="291">
        <v>24494.3</v>
      </c>
      <c r="I456" s="291">
        <v>24494.3</v>
      </c>
      <c r="J456" s="291">
        <v>-24494.3</v>
      </c>
      <c r="K456" s="289" t="s">
        <v>1731</v>
      </c>
      <c r="L456" s="288" t="s">
        <v>1732</v>
      </c>
      <c r="M456" s="288" t="s">
        <v>1733</v>
      </c>
      <c r="N456" s="288" t="s">
        <v>1734</v>
      </c>
      <c r="O456" s="289" t="s">
        <v>1791</v>
      </c>
      <c r="P456" s="292"/>
    </row>
    <row r="457" spans="1:16" hidden="1" x14ac:dyDescent="0.25">
      <c r="A457" s="287" t="s">
        <v>2843</v>
      </c>
      <c r="B457" s="311" t="s">
        <v>2844</v>
      </c>
      <c r="C457" s="62"/>
      <c r="D457" s="288" t="s">
        <v>2845</v>
      </c>
      <c r="E457" s="288" t="s">
        <v>2846</v>
      </c>
      <c r="F457" s="289">
        <v>8000716533</v>
      </c>
      <c r="G457" s="290">
        <v>45840</v>
      </c>
      <c r="H457" s="291">
        <v>3000</v>
      </c>
      <c r="I457" s="291">
        <v>3000</v>
      </c>
      <c r="J457" s="291">
        <v>0</v>
      </c>
      <c r="K457" s="289" t="s">
        <v>1731</v>
      </c>
      <c r="L457" s="288" t="s">
        <v>1828</v>
      </c>
      <c r="M457" s="288" t="s">
        <v>1829</v>
      </c>
      <c r="N457" s="288" t="s">
        <v>1830</v>
      </c>
      <c r="O457" s="289" t="s">
        <v>2847</v>
      </c>
      <c r="P457" s="292"/>
    </row>
    <row r="458" spans="1:16" hidden="1" x14ac:dyDescent="0.25">
      <c r="A458" s="287" t="s">
        <v>2848</v>
      </c>
      <c r="B458" s="311" t="s">
        <v>2849</v>
      </c>
      <c r="C458" s="62"/>
      <c r="D458" s="288" t="s">
        <v>2850</v>
      </c>
      <c r="E458" s="288" t="s">
        <v>2851</v>
      </c>
      <c r="F458" s="289"/>
      <c r="G458" s="290">
        <v>45545</v>
      </c>
      <c r="H458" s="291">
        <v>1146753</v>
      </c>
      <c r="I458" s="291">
        <v>1146753</v>
      </c>
      <c r="J458" s="291">
        <v>-1146753</v>
      </c>
      <c r="K458" s="289" t="s">
        <v>1731</v>
      </c>
      <c r="L458" s="288" t="s">
        <v>1732</v>
      </c>
      <c r="M458" s="288" t="s">
        <v>1733</v>
      </c>
      <c r="N458" s="288" t="s">
        <v>1734</v>
      </c>
      <c r="O458" s="289" t="s">
        <v>1791</v>
      </c>
      <c r="P458" s="292"/>
    </row>
    <row r="459" spans="1:16" hidden="1" x14ac:dyDescent="0.25">
      <c r="A459" s="287" t="s">
        <v>2848</v>
      </c>
      <c r="B459" s="311" t="s">
        <v>2849</v>
      </c>
      <c r="C459" s="62"/>
      <c r="D459" s="288" t="s">
        <v>2850</v>
      </c>
      <c r="E459" s="288" t="s">
        <v>1741</v>
      </c>
      <c r="F459" s="289"/>
      <c r="G459" s="290">
        <v>45533</v>
      </c>
      <c r="H459" s="291">
        <v>214532.24</v>
      </c>
      <c r="I459" s="291">
        <v>214532.24</v>
      </c>
      <c r="J459" s="291">
        <v>-196410.64</v>
      </c>
      <c r="K459" s="289" t="s">
        <v>1731</v>
      </c>
      <c r="L459" s="288" t="s">
        <v>1732</v>
      </c>
      <c r="M459" s="288" t="s">
        <v>1733</v>
      </c>
      <c r="N459" s="288" t="s">
        <v>1734</v>
      </c>
      <c r="O459" s="289" t="s">
        <v>1791</v>
      </c>
      <c r="P459" s="292"/>
    </row>
    <row r="460" spans="1:16" hidden="1" x14ac:dyDescent="0.25">
      <c r="A460" s="287" t="s">
        <v>2852</v>
      </c>
      <c r="B460" s="311" t="s">
        <v>2853</v>
      </c>
      <c r="C460" s="62"/>
      <c r="D460" s="288" t="s">
        <v>2854</v>
      </c>
      <c r="E460" s="288" t="s">
        <v>1741</v>
      </c>
      <c r="F460" s="289"/>
      <c r="G460" s="290">
        <v>45566</v>
      </c>
      <c r="H460" s="291">
        <v>80121</v>
      </c>
      <c r="I460" s="291">
        <v>80121</v>
      </c>
      <c r="J460" s="291">
        <v>-11791.5</v>
      </c>
      <c r="K460" s="289" t="s">
        <v>1731</v>
      </c>
      <c r="L460" s="288" t="s">
        <v>1732</v>
      </c>
      <c r="M460" s="288" t="s">
        <v>1733</v>
      </c>
      <c r="N460" s="288" t="s">
        <v>1734</v>
      </c>
      <c r="O460" s="289" t="s">
        <v>1791</v>
      </c>
      <c r="P460" s="292"/>
    </row>
    <row r="461" spans="1:16" hidden="1" x14ac:dyDescent="0.25">
      <c r="A461" s="287" t="s">
        <v>2855</v>
      </c>
      <c r="B461" s="311" t="s">
        <v>2856</v>
      </c>
      <c r="C461" s="62"/>
      <c r="D461" s="288" t="s">
        <v>2857</v>
      </c>
      <c r="E461" s="288" t="s">
        <v>2858</v>
      </c>
      <c r="F461" s="289"/>
      <c r="G461" s="290">
        <v>45555</v>
      </c>
      <c r="H461" s="291">
        <v>191486.21</v>
      </c>
      <c r="I461" s="291">
        <v>191486.21</v>
      </c>
      <c r="J461" s="291">
        <v>-191486.21</v>
      </c>
      <c r="K461" s="289" t="s">
        <v>1731</v>
      </c>
      <c r="L461" s="288" t="s">
        <v>1732</v>
      </c>
      <c r="M461" s="288" t="s">
        <v>1733</v>
      </c>
      <c r="N461" s="288" t="s">
        <v>1734</v>
      </c>
      <c r="O461" s="289" t="s">
        <v>1791</v>
      </c>
      <c r="P461" s="292"/>
    </row>
    <row r="462" spans="1:16" hidden="1" x14ac:dyDescent="0.25">
      <c r="A462" s="287" t="s">
        <v>2855</v>
      </c>
      <c r="B462" s="311" t="s">
        <v>2856</v>
      </c>
      <c r="C462" s="62"/>
      <c r="D462" s="288" t="s">
        <v>2857</v>
      </c>
      <c r="E462" s="288" t="s">
        <v>2859</v>
      </c>
      <c r="F462" s="289">
        <v>8000725673</v>
      </c>
      <c r="G462" s="290">
        <v>45596</v>
      </c>
      <c r="H462" s="291">
        <v>0.02</v>
      </c>
      <c r="I462" s="291">
        <v>0.02</v>
      </c>
      <c r="J462" s="291">
        <v>-0.02</v>
      </c>
      <c r="K462" s="289" t="s">
        <v>1731</v>
      </c>
      <c r="L462" s="288" t="s">
        <v>1732</v>
      </c>
      <c r="M462" s="288" t="s">
        <v>1733</v>
      </c>
      <c r="N462" s="288" t="s">
        <v>1734</v>
      </c>
      <c r="O462" s="289" t="s">
        <v>2860</v>
      </c>
      <c r="P462" s="292"/>
    </row>
    <row r="463" spans="1:16" hidden="1" x14ac:dyDescent="0.25">
      <c r="A463" s="287" t="s">
        <v>2855</v>
      </c>
      <c r="B463" s="311" t="s">
        <v>2856</v>
      </c>
      <c r="C463" s="62"/>
      <c r="D463" s="288" t="s">
        <v>2857</v>
      </c>
      <c r="E463" s="288" t="s">
        <v>1741</v>
      </c>
      <c r="F463" s="289"/>
      <c r="G463" s="290">
        <v>45559</v>
      </c>
      <c r="H463" s="291">
        <v>178913</v>
      </c>
      <c r="I463" s="291">
        <v>178913</v>
      </c>
      <c r="J463" s="291">
        <v>-178913</v>
      </c>
      <c r="K463" s="289" t="s">
        <v>1731</v>
      </c>
      <c r="L463" s="288" t="s">
        <v>1732</v>
      </c>
      <c r="M463" s="288" t="s">
        <v>1733</v>
      </c>
      <c r="N463" s="288" t="s">
        <v>1734</v>
      </c>
      <c r="O463" s="289" t="s">
        <v>1791</v>
      </c>
      <c r="P463" s="292"/>
    </row>
    <row r="464" spans="1:16" hidden="1" x14ac:dyDescent="0.25">
      <c r="A464" s="287" t="s">
        <v>2861</v>
      </c>
      <c r="B464" s="311" t="s">
        <v>2862</v>
      </c>
      <c r="C464" s="62"/>
      <c r="D464" s="288" t="s">
        <v>2863</v>
      </c>
      <c r="E464" s="288" t="s">
        <v>2864</v>
      </c>
      <c r="F464" s="289">
        <v>8000725550</v>
      </c>
      <c r="G464" s="290">
        <v>45547</v>
      </c>
      <c r="H464" s="291">
        <v>70000</v>
      </c>
      <c r="I464" s="291">
        <v>70000</v>
      </c>
      <c r="J464" s="291">
        <v>-70000</v>
      </c>
      <c r="K464" s="289" t="s">
        <v>1731</v>
      </c>
      <c r="L464" s="288" t="s">
        <v>1732</v>
      </c>
      <c r="M464" s="288" t="s">
        <v>1733</v>
      </c>
      <c r="N464" s="288" t="s">
        <v>1734</v>
      </c>
      <c r="O464" s="289" t="s">
        <v>2865</v>
      </c>
      <c r="P464" s="292"/>
    </row>
    <row r="465" spans="1:17" hidden="1" x14ac:dyDescent="0.25">
      <c r="A465" s="287" t="s">
        <v>2866</v>
      </c>
      <c r="B465" s="311" t="s">
        <v>2867</v>
      </c>
      <c r="C465" s="62"/>
      <c r="D465" s="288" t="s">
        <v>2868</v>
      </c>
      <c r="E465" s="288"/>
      <c r="F465" s="289">
        <v>8701551631</v>
      </c>
      <c r="G465" s="290">
        <v>45813</v>
      </c>
      <c r="H465" s="291">
        <v>0.19</v>
      </c>
      <c r="I465" s="291">
        <v>0.19</v>
      </c>
      <c r="J465" s="291">
        <v>-0.19</v>
      </c>
      <c r="K465" s="289" t="s">
        <v>1731</v>
      </c>
      <c r="L465" s="288" t="s">
        <v>1732</v>
      </c>
      <c r="M465" s="288" t="s">
        <v>1733</v>
      </c>
      <c r="N465" s="288" t="s">
        <v>1734</v>
      </c>
      <c r="O465" s="289" t="s">
        <v>2034</v>
      </c>
      <c r="P465" s="292"/>
    </row>
    <row r="466" spans="1:17" hidden="1" x14ac:dyDescent="0.25">
      <c r="A466" s="287" t="s">
        <v>2869</v>
      </c>
      <c r="B466" s="311" t="s">
        <v>2870</v>
      </c>
      <c r="C466" s="62"/>
      <c r="D466" s="288" t="s">
        <v>2871</v>
      </c>
      <c r="E466" s="288"/>
      <c r="F466" s="289">
        <v>8701098908</v>
      </c>
      <c r="G466" s="290">
        <v>45330</v>
      </c>
      <c r="H466" s="291">
        <v>0.01</v>
      </c>
      <c r="I466" s="291">
        <v>0.01</v>
      </c>
      <c r="J466" s="291">
        <v>-0.01</v>
      </c>
      <c r="K466" s="289" t="s">
        <v>1731</v>
      </c>
      <c r="L466" s="288" t="s">
        <v>1773</v>
      </c>
      <c r="M466" s="288" t="s">
        <v>1774</v>
      </c>
      <c r="N466" s="288" t="s">
        <v>1734</v>
      </c>
      <c r="O466" s="289" t="s">
        <v>2872</v>
      </c>
      <c r="P466" s="292"/>
    </row>
    <row r="467" spans="1:17" s="364" customFormat="1" ht="105" x14ac:dyDescent="0.25">
      <c r="A467" s="293" t="s">
        <v>2873</v>
      </c>
      <c r="B467" s="312" t="s">
        <v>642</v>
      </c>
      <c r="C467" s="216" t="s">
        <v>1684</v>
      </c>
      <c r="D467" s="294" t="s">
        <v>2874</v>
      </c>
      <c r="E467" s="294" t="s">
        <v>644</v>
      </c>
      <c r="F467" s="295">
        <v>8000732760</v>
      </c>
      <c r="G467" s="296">
        <v>45855</v>
      </c>
      <c r="H467" s="297">
        <v>4723327.09</v>
      </c>
      <c r="I467" s="297">
        <v>4723327.09</v>
      </c>
      <c r="J467" s="297">
        <v>0</v>
      </c>
      <c r="K467" s="295" t="s">
        <v>1731</v>
      </c>
      <c r="L467" s="294" t="s">
        <v>1773</v>
      </c>
      <c r="M467" s="294" t="s">
        <v>1774</v>
      </c>
      <c r="N467" s="294" t="s">
        <v>1734</v>
      </c>
      <c r="O467" s="295" t="s">
        <v>2379</v>
      </c>
      <c r="P467" s="298"/>
      <c r="Q467" s="364">
        <v>1</v>
      </c>
    </row>
    <row r="468" spans="1:17" hidden="1" x14ac:dyDescent="0.25">
      <c r="A468" s="287" t="s">
        <v>2875</v>
      </c>
      <c r="B468" s="311" t="s">
        <v>2876</v>
      </c>
      <c r="C468" s="62"/>
      <c r="D468" s="288" t="s">
        <v>2877</v>
      </c>
      <c r="E468" s="288"/>
      <c r="F468" s="289"/>
      <c r="G468" s="290">
        <v>45485</v>
      </c>
      <c r="H468" s="291">
        <v>20</v>
      </c>
      <c r="I468" s="291">
        <v>20</v>
      </c>
      <c r="J468" s="291">
        <v>-20</v>
      </c>
      <c r="K468" s="289" t="s">
        <v>1731</v>
      </c>
      <c r="L468" s="288" t="s">
        <v>1732</v>
      </c>
      <c r="M468" s="288" t="s">
        <v>1733</v>
      </c>
      <c r="N468" s="288" t="s">
        <v>1734</v>
      </c>
      <c r="O468" s="289" t="s">
        <v>1791</v>
      </c>
      <c r="P468" s="292"/>
    </row>
    <row r="469" spans="1:17" hidden="1" x14ac:dyDescent="0.25">
      <c r="A469" s="287" t="s">
        <v>2878</v>
      </c>
      <c r="B469" s="311" t="s">
        <v>2879</v>
      </c>
      <c r="C469" s="62"/>
      <c r="D469" s="288" t="s">
        <v>2880</v>
      </c>
      <c r="E469" s="288" t="s">
        <v>2881</v>
      </c>
      <c r="F469" s="289">
        <v>8000749538</v>
      </c>
      <c r="G469" s="290">
        <v>46010</v>
      </c>
      <c r="H469" s="291">
        <v>164655.57</v>
      </c>
      <c r="I469" s="291">
        <v>164655.57</v>
      </c>
      <c r="J469" s="291">
        <v>0</v>
      </c>
      <c r="K469" s="289" t="s">
        <v>1731</v>
      </c>
      <c r="L469" s="288" t="s">
        <v>1828</v>
      </c>
      <c r="M469" s="288" t="s">
        <v>1829</v>
      </c>
      <c r="N469" s="288" t="s">
        <v>1830</v>
      </c>
      <c r="O469" s="289" t="s">
        <v>1868</v>
      </c>
      <c r="P469" s="292"/>
    </row>
    <row r="470" spans="1:17" hidden="1" x14ac:dyDescent="0.25">
      <c r="A470" s="287" t="s">
        <v>2878</v>
      </c>
      <c r="B470" s="311" t="s">
        <v>2879</v>
      </c>
      <c r="C470" s="62"/>
      <c r="D470" s="288" t="s">
        <v>2880</v>
      </c>
      <c r="E470" s="288" t="s">
        <v>2882</v>
      </c>
      <c r="F470" s="289">
        <v>8000749597</v>
      </c>
      <c r="G470" s="290">
        <v>46010</v>
      </c>
      <c r="H470" s="291">
        <v>86771.42</v>
      </c>
      <c r="I470" s="291">
        <v>86771.42</v>
      </c>
      <c r="J470" s="291">
        <v>0</v>
      </c>
      <c r="K470" s="289" t="s">
        <v>1731</v>
      </c>
      <c r="L470" s="288" t="s">
        <v>1828</v>
      </c>
      <c r="M470" s="288" t="s">
        <v>1829</v>
      </c>
      <c r="N470" s="288" t="s">
        <v>1830</v>
      </c>
      <c r="O470" s="289" t="s">
        <v>1868</v>
      </c>
      <c r="P470" s="292"/>
    </row>
    <row r="471" spans="1:17" hidden="1" x14ac:dyDescent="0.25">
      <c r="A471" s="287" t="s">
        <v>2883</v>
      </c>
      <c r="B471" s="311" t="s">
        <v>2884</v>
      </c>
      <c r="C471" s="62"/>
      <c r="D471" s="288" t="s">
        <v>2885</v>
      </c>
      <c r="E471" s="288" t="s">
        <v>2886</v>
      </c>
      <c r="F471" s="289">
        <v>4000228821</v>
      </c>
      <c r="G471" s="290">
        <v>45565</v>
      </c>
      <c r="H471" s="291">
        <v>128541</v>
      </c>
      <c r="I471" s="291">
        <v>128541</v>
      </c>
      <c r="J471" s="291">
        <v>0</v>
      </c>
      <c r="K471" s="289" t="s">
        <v>1731</v>
      </c>
      <c r="L471" s="288" t="s">
        <v>1754</v>
      </c>
      <c r="M471" s="288" t="s">
        <v>1755</v>
      </c>
      <c r="N471" s="288" t="s">
        <v>1751</v>
      </c>
      <c r="O471" s="289" t="s">
        <v>2129</v>
      </c>
      <c r="P471" s="292"/>
    </row>
    <row r="472" spans="1:17" hidden="1" x14ac:dyDescent="0.25">
      <c r="A472" s="287" t="s">
        <v>2883</v>
      </c>
      <c r="B472" s="311" t="s">
        <v>2884</v>
      </c>
      <c r="C472" s="62"/>
      <c r="D472" s="288" t="s">
        <v>2885</v>
      </c>
      <c r="E472" s="288" t="s">
        <v>2887</v>
      </c>
      <c r="F472" s="289">
        <v>4000228822</v>
      </c>
      <c r="G472" s="290">
        <v>45565</v>
      </c>
      <c r="H472" s="291">
        <v>48426</v>
      </c>
      <c r="I472" s="291">
        <v>48426</v>
      </c>
      <c r="J472" s="291">
        <v>0</v>
      </c>
      <c r="K472" s="289" t="s">
        <v>1731</v>
      </c>
      <c r="L472" s="288" t="s">
        <v>1754</v>
      </c>
      <c r="M472" s="288" t="s">
        <v>1755</v>
      </c>
      <c r="N472" s="288" t="s">
        <v>1751</v>
      </c>
      <c r="O472" s="289" t="s">
        <v>2129</v>
      </c>
      <c r="P472" s="292"/>
    </row>
    <row r="473" spans="1:17" hidden="1" x14ac:dyDescent="0.25">
      <c r="A473" s="287" t="s">
        <v>2883</v>
      </c>
      <c r="B473" s="311" t="s">
        <v>2884</v>
      </c>
      <c r="C473" s="62"/>
      <c r="D473" s="288" t="s">
        <v>2885</v>
      </c>
      <c r="E473" s="288" t="s">
        <v>2888</v>
      </c>
      <c r="F473" s="289">
        <v>4000228823</v>
      </c>
      <c r="G473" s="290">
        <v>45565</v>
      </c>
      <c r="H473" s="291">
        <v>5796</v>
      </c>
      <c r="I473" s="291">
        <v>5796</v>
      </c>
      <c r="J473" s="291">
        <v>0</v>
      </c>
      <c r="K473" s="289" t="s">
        <v>1731</v>
      </c>
      <c r="L473" s="288" t="s">
        <v>1754</v>
      </c>
      <c r="M473" s="288" t="s">
        <v>1755</v>
      </c>
      <c r="N473" s="288" t="s">
        <v>1751</v>
      </c>
      <c r="O473" s="289" t="s">
        <v>2129</v>
      </c>
      <c r="P473" s="292"/>
    </row>
    <row r="474" spans="1:17" hidden="1" x14ac:dyDescent="0.25">
      <c r="A474" s="287" t="s">
        <v>2883</v>
      </c>
      <c r="B474" s="311" t="s">
        <v>2884</v>
      </c>
      <c r="C474" s="62"/>
      <c r="D474" s="288" t="s">
        <v>2885</v>
      </c>
      <c r="E474" s="288" t="s">
        <v>2889</v>
      </c>
      <c r="F474" s="289">
        <v>4000239275</v>
      </c>
      <c r="G474" s="290">
        <v>46078</v>
      </c>
      <c r="H474" s="291">
        <v>64438.7</v>
      </c>
      <c r="I474" s="291">
        <v>20056.93</v>
      </c>
      <c r="J474" s="291">
        <v>0</v>
      </c>
      <c r="K474" s="289" t="s">
        <v>1731</v>
      </c>
      <c r="L474" s="288" t="s">
        <v>1754</v>
      </c>
      <c r="M474" s="288" t="s">
        <v>1755</v>
      </c>
      <c r="N474" s="288" t="s">
        <v>1751</v>
      </c>
      <c r="O474" s="289" t="s">
        <v>2742</v>
      </c>
      <c r="P474" s="292"/>
    </row>
    <row r="475" spans="1:17" hidden="1" x14ac:dyDescent="0.25">
      <c r="A475" s="287" t="s">
        <v>2890</v>
      </c>
      <c r="B475" s="311" t="s">
        <v>2891</v>
      </c>
      <c r="C475" s="62"/>
      <c r="D475" s="288" t="s">
        <v>2892</v>
      </c>
      <c r="E475" s="288"/>
      <c r="F475" s="289">
        <v>8701543461</v>
      </c>
      <c r="G475" s="290">
        <v>45813</v>
      </c>
      <c r="H475" s="291">
        <v>47376</v>
      </c>
      <c r="I475" s="291">
        <v>47376</v>
      </c>
      <c r="J475" s="291">
        <v>-47376</v>
      </c>
      <c r="K475" s="289" t="s">
        <v>1731</v>
      </c>
      <c r="L475" s="288" t="s">
        <v>1732</v>
      </c>
      <c r="M475" s="288" t="s">
        <v>1733</v>
      </c>
      <c r="N475" s="288" t="s">
        <v>1734</v>
      </c>
      <c r="O475" s="289" t="s">
        <v>2305</v>
      </c>
      <c r="P475" s="292"/>
    </row>
    <row r="476" spans="1:17" hidden="1" x14ac:dyDescent="0.25">
      <c r="A476" s="287" t="s">
        <v>2893</v>
      </c>
      <c r="B476" s="311" t="s">
        <v>2894</v>
      </c>
      <c r="C476" s="62"/>
      <c r="D476" s="288" t="s">
        <v>2895</v>
      </c>
      <c r="E476" s="288"/>
      <c r="F476" s="289"/>
      <c r="G476" s="290">
        <v>45695</v>
      </c>
      <c r="H476" s="291">
        <v>71500</v>
      </c>
      <c r="I476" s="291">
        <v>71500</v>
      </c>
      <c r="J476" s="291">
        <v>-96500</v>
      </c>
      <c r="K476" s="289" t="s">
        <v>1731</v>
      </c>
      <c r="L476" s="288" t="s">
        <v>1732</v>
      </c>
      <c r="M476" s="288" t="s">
        <v>1733</v>
      </c>
      <c r="N476" s="288" t="s">
        <v>1734</v>
      </c>
      <c r="O476" s="289" t="s">
        <v>1791</v>
      </c>
      <c r="P476" s="292"/>
    </row>
    <row r="477" spans="1:17" hidden="1" x14ac:dyDescent="0.25">
      <c r="A477" s="287" t="s">
        <v>2893</v>
      </c>
      <c r="B477" s="311" t="s">
        <v>2894</v>
      </c>
      <c r="C477" s="62"/>
      <c r="D477" s="288" t="s">
        <v>2895</v>
      </c>
      <c r="E477" s="288"/>
      <c r="F477" s="289"/>
      <c r="G477" s="290">
        <v>45695</v>
      </c>
      <c r="H477" s="291">
        <v>25000</v>
      </c>
      <c r="I477" s="291">
        <v>25000</v>
      </c>
      <c r="J477" s="291">
        <v>-96500</v>
      </c>
      <c r="K477" s="289" t="s">
        <v>1731</v>
      </c>
      <c r="L477" s="288" t="s">
        <v>1773</v>
      </c>
      <c r="M477" s="288" t="s">
        <v>1774</v>
      </c>
      <c r="N477" s="288" t="s">
        <v>1734</v>
      </c>
      <c r="O477" s="289" t="s">
        <v>1791</v>
      </c>
      <c r="P477" s="292"/>
    </row>
    <row r="478" spans="1:17" s="364" customFormat="1" ht="120" x14ac:dyDescent="0.25">
      <c r="A478" s="293" t="s">
        <v>2896</v>
      </c>
      <c r="B478" s="312" t="s">
        <v>109</v>
      </c>
      <c r="C478" s="216" t="s">
        <v>4462</v>
      </c>
      <c r="D478" s="294" t="s">
        <v>2897</v>
      </c>
      <c r="E478" s="294" t="s">
        <v>76</v>
      </c>
      <c r="F478" s="295">
        <v>8000561540</v>
      </c>
      <c r="G478" s="296">
        <v>45365</v>
      </c>
      <c r="H478" s="297">
        <v>20000</v>
      </c>
      <c r="I478" s="297">
        <v>20000</v>
      </c>
      <c r="J478" s="297">
        <v>0</v>
      </c>
      <c r="K478" s="295" t="s">
        <v>1731</v>
      </c>
      <c r="L478" s="294" t="s">
        <v>1828</v>
      </c>
      <c r="M478" s="294" t="s">
        <v>1829</v>
      </c>
      <c r="N478" s="294" t="s">
        <v>1830</v>
      </c>
      <c r="O478" s="295" t="s">
        <v>2020</v>
      </c>
      <c r="P478" s="298"/>
      <c r="Q478" s="364">
        <v>1</v>
      </c>
    </row>
    <row r="479" spans="1:17" hidden="1" x14ac:dyDescent="0.25">
      <c r="A479" s="287" t="s">
        <v>2896</v>
      </c>
      <c r="B479" s="311" t="s">
        <v>109</v>
      </c>
      <c r="C479" s="62"/>
      <c r="D479" s="288" t="s">
        <v>2897</v>
      </c>
      <c r="E479" s="288" t="s">
        <v>458</v>
      </c>
      <c r="F479" s="289">
        <v>8000729412</v>
      </c>
      <c r="G479" s="290">
        <v>46048</v>
      </c>
      <c r="H479" s="291">
        <v>300000</v>
      </c>
      <c r="I479" s="291">
        <v>300000</v>
      </c>
      <c r="J479" s="291">
        <v>0</v>
      </c>
      <c r="K479" s="289" t="s">
        <v>1731</v>
      </c>
      <c r="L479" s="288" t="s">
        <v>1828</v>
      </c>
      <c r="M479" s="288" t="s">
        <v>1829</v>
      </c>
      <c r="N479" s="288" t="s">
        <v>1830</v>
      </c>
      <c r="O479" s="289" t="s">
        <v>2020</v>
      </c>
      <c r="P479" s="292"/>
    </row>
    <row r="480" spans="1:17" hidden="1" x14ac:dyDescent="0.25">
      <c r="A480" s="287" t="s">
        <v>2898</v>
      </c>
      <c r="B480" s="311" t="s">
        <v>2899</v>
      </c>
      <c r="C480" s="62"/>
      <c r="D480" s="288" t="s">
        <v>2900</v>
      </c>
      <c r="E480" s="288"/>
      <c r="F480" s="289">
        <v>8701608961</v>
      </c>
      <c r="G480" s="290">
        <v>45883</v>
      </c>
      <c r="H480" s="291">
        <v>734</v>
      </c>
      <c r="I480" s="291">
        <v>734</v>
      </c>
      <c r="J480" s="291">
        <v>0</v>
      </c>
      <c r="K480" s="289" t="s">
        <v>1731</v>
      </c>
      <c r="L480" s="288" t="s">
        <v>1732</v>
      </c>
      <c r="M480" s="288" t="s">
        <v>1733</v>
      </c>
      <c r="N480" s="288" t="s">
        <v>1734</v>
      </c>
      <c r="O480" s="289" t="s">
        <v>2901</v>
      </c>
      <c r="P480" s="292"/>
    </row>
    <row r="481" spans="1:17" hidden="1" x14ac:dyDescent="0.25">
      <c r="A481" s="287" t="s">
        <v>2898</v>
      </c>
      <c r="B481" s="311" t="s">
        <v>2899</v>
      </c>
      <c r="C481" s="62"/>
      <c r="D481" s="288" t="s">
        <v>2900</v>
      </c>
      <c r="E481" s="288" t="s">
        <v>2902</v>
      </c>
      <c r="F481" s="289">
        <v>8000773102</v>
      </c>
      <c r="G481" s="290">
        <v>45947</v>
      </c>
      <c r="H481" s="291">
        <v>124668</v>
      </c>
      <c r="I481" s="291">
        <v>124668</v>
      </c>
      <c r="J481" s="291">
        <v>0</v>
      </c>
      <c r="K481" s="289" t="s">
        <v>1731</v>
      </c>
      <c r="L481" s="288" t="s">
        <v>1732</v>
      </c>
      <c r="M481" s="288" t="s">
        <v>1733</v>
      </c>
      <c r="N481" s="288" t="s">
        <v>1734</v>
      </c>
      <c r="O481" s="289" t="s">
        <v>1933</v>
      </c>
      <c r="P481" s="292"/>
    </row>
    <row r="482" spans="1:17" hidden="1" x14ac:dyDescent="0.25">
      <c r="A482" s="287" t="s">
        <v>2903</v>
      </c>
      <c r="B482" s="311" t="s">
        <v>2904</v>
      </c>
      <c r="C482" s="62"/>
      <c r="D482" s="288" t="s">
        <v>2905</v>
      </c>
      <c r="E482" s="288" t="s">
        <v>2906</v>
      </c>
      <c r="F482" s="289">
        <v>8000770484</v>
      </c>
      <c r="G482" s="290">
        <v>45926</v>
      </c>
      <c r="H482" s="291">
        <v>17304</v>
      </c>
      <c r="I482" s="291">
        <v>17304</v>
      </c>
      <c r="J482" s="291">
        <v>0</v>
      </c>
      <c r="K482" s="289" t="s">
        <v>1731</v>
      </c>
      <c r="L482" s="288" t="s">
        <v>1732</v>
      </c>
      <c r="M482" s="288" t="s">
        <v>1733</v>
      </c>
      <c r="N482" s="288" t="s">
        <v>1734</v>
      </c>
      <c r="O482" s="289" t="s">
        <v>1934</v>
      </c>
      <c r="P482" s="292"/>
    </row>
    <row r="483" spans="1:17" hidden="1" x14ac:dyDescent="0.25">
      <c r="A483" s="287" t="s">
        <v>2903</v>
      </c>
      <c r="B483" s="311" t="s">
        <v>2904</v>
      </c>
      <c r="C483" s="62"/>
      <c r="D483" s="288" t="s">
        <v>2905</v>
      </c>
      <c r="E483" s="288" t="s">
        <v>2907</v>
      </c>
      <c r="F483" s="289">
        <v>8000792342</v>
      </c>
      <c r="G483" s="290">
        <v>46001</v>
      </c>
      <c r="H483" s="291">
        <v>23202.76</v>
      </c>
      <c r="I483" s="291">
        <v>23202.76</v>
      </c>
      <c r="J483" s="291">
        <v>0</v>
      </c>
      <c r="K483" s="289" t="s">
        <v>1731</v>
      </c>
      <c r="L483" s="288" t="s">
        <v>1732</v>
      </c>
      <c r="M483" s="288" t="s">
        <v>1733</v>
      </c>
      <c r="N483" s="288" t="s">
        <v>1734</v>
      </c>
      <c r="O483" s="289" t="s">
        <v>1934</v>
      </c>
      <c r="P483" s="292"/>
    </row>
    <row r="484" spans="1:17" hidden="1" x14ac:dyDescent="0.25">
      <c r="A484" s="287" t="s">
        <v>2903</v>
      </c>
      <c r="B484" s="311" t="s">
        <v>2904</v>
      </c>
      <c r="C484" s="62"/>
      <c r="D484" s="288" t="s">
        <v>2905</v>
      </c>
      <c r="E484" s="288" t="s">
        <v>2908</v>
      </c>
      <c r="F484" s="289">
        <v>8000794117</v>
      </c>
      <c r="G484" s="290">
        <v>46013</v>
      </c>
      <c r="H484" s="291">
        <v>162179.99</v>
      </c>
      <c r="I484" s="291">
        <v>162179.99</v>
      </c>
      <c r="J484" s="291">
        <v>0</v>
      </c>
      <c r="K484" s="289" t="s">
        <v>1731</v>
      </c>
      <c r="L484" s="288" t="s">
        <v>1732</v>
      </c>
      <c r="M484" s="288" t="s">
        <v>1733</v>
      </c>
      <c r="N484" s="288" t="s">
        <v>1734</v>
      </c>
      <c r="O484" s="289" t="s">
        <v>1934</v>
      </c>
      <c r="P484" s="292"/>
    </row>
    <row r="485" spans="1:17" ht="39" hidden="1" x14ac:dyDescent="0.25">
      <c r="A485" s="287" t="s">
        <v>2909</v>
      </c>
      <c r="B485" s="311" t="s">
        <v>2910</v>
      </c>
      <c r="C485" s="62"/>
      <c r="D485" s="288" t="s">
        <v>2911</v>
      </c>
      <c r="E485" s="288" t="s">
        <v>2912</v>
      </c>
      <c r="F485" s="289">
        <v>8000726102</v>
      </c>
      <c r="G485" s="290">
        <v>45792</v>
      </c>
      <c r="H485" s="291">
        <v>153450</v>
      </c>
      <c r="I485" s="291">
        <v>153450</v>
      </c>
      <c r="J485" s="291">
        <v>0</v>
      </c>
      <c r="K485" s="289" t="s">
        <v>1731</v>
      </c>
      <c r="L485" s="288" t="s">
        <v>2164</v>
      </c>
      <c r="M485" s="288" t="s">
        <v>2165</v>
      </c>
      <c r="N485" s="288" t="s">
        <v>1734</v>
      </c>
      <c r="O485" s="289" t="s">
        <v>2803</v>
      </c>
      <c r="P485" s="292"/>
    </row>
    <row r="486" spans="1:17" hidden="1" x14ac:dyDescent="0.25">
      <c r="A486" s="287" t="s">
        <v>2913</v>
      </c>
      <c r="B486" s="311" t="s">
        <v>2914</v>
      </c>
      <c r="C486" s="62"/>
      <c r="D486" s="288" t="s">
        <v>2915</v>
      </c>
      <c r="E486" s="288" t="s">
        <v>2916</v>
      </c>
      <c r="F486" s="289">
        <v>8000557429</v>
      </c>
      <c r="G486" s="290">
        <v>45124</v>
      </c>
      <c r="H486" s="291">
        <v>2988144.72</v>
      </c>
      <c r="I486" s="291">
        <v>2988144.72</v>
      </c>
      <c r="J486" s="291">
        <v>-2490120.58</v>
      </c>
      <c r="K486" s="289" t="s">
        <v>1731</v>
      </c>
      <c r="L486" s="288" t="s">
        <v>1773</v>
      </c>
      <c r="M486" s="288" t="s">
        <v>1774</v>
      </c>
      <c r="N486" s="288" t="s">
        <v>1734</v>
      </c>
      <c r="O486" s="289" t="s">
        <v>2564</v>
      </c>
      <c r="P486" s="292"/>
    </row>
    <row r="487" spans="1:17" hidden="1" x14ac:dyDescent="0.25">
      <c r="A487" s="287" t="s">
        <v>2917</v>
      </c>
      <c r="B487" s="311" t="s">
        <v>2918</v>
      </c>
      <c r="C487" s="62"/>
      <c r="D487" s="288" t="s">
        <v>2919</v>
      </c>
      <c r="E487" s="288"/>
      <c r="F487" s="289"/>
      <c r="G487" s="290">
        <v>45709</v>
      </c>
      <c r="H487" s="291">
        <v>195333</v>
      </c>
      <c r="I487" s="291">
        <v>195333</v>
      </c>
      <c r="J487" s="291">
        <v>-195333</v>
      </c>
      <c r="K487" s="289" t="s">
        <v>1731</v>
      </c>
      <c r="L487" s="288" t="s">
        <v>1732</v>
      </c>
      <c r="M487" s="288" t="s">
        <v>1733</v>
      </c>
      <c r="N487" s="288" t="s">
        <v>1734</v>
      </c>
      <c r="O487" s="289" t="s">
        <v>1791</v>
      </c>
      <c r="P487" s="292"/>
    </row>
    <row r="488" spans="1:17" hidden="1" x14ac:dyDescent="0.25">
      <c r="A488" s="287" t="s">
        <v>2920</v>
      </c>
      <c r="B488" s="311" t="s">
        <v>2921</v>
      </c>
      <c r="C488" s="62"/>
      <c r="D488" s="288" t="s">
        <v>2922</v>
      </c>
      <c r="E488" s="288"/>
      <c r="F488" s="289"/>
      <c r="G488" s="290">
        <v>45708</v>
      </c>
      <c r="H488" s="291">
        <v>26100</v>
      </c>
      <c r="I488" s="291">
        <v>26100</v>
      </c>
      <c r="J488" s="291">
        <v>-26100</v>
      </c>
      <c r="K488" s="289" t="s">
        <v>1731</v>
      </c>
      <c r="L488" s="288" t="s">
        <v>1773</v>
      </c>
      <c r="M488" s="288" t="s">
        <v>1774</v>
      </c>
      <c r="N488" s="288" t="s">
        <v>1734</v>
      </c>
      <c r="O488" s="289" t="s">
        <v>1791</v>
      </c>
      <c r="P488" s="292"/>
    </row>
    <row r="489" spans="1:17" hidden="1" x14ac:dyDescent="0.25">
      <c r="A489" s="287" t="s">
        <v>2920</v>
      </c>
      <c r="B489" s="311" t="s">
        <v>2921</v>
      </c>
      <c r="C489" s="62"/>
      <c r="D489" s="288" t="s">
        <v>2922</v>
      </c>
      <c r="E489" s="288" t="s">
        <v>1741</v>
      </c>
      <c r="F489" s="289"/>
      <c r="G489" s="290">
        <v>45652</v>
      </c>
      <c r="H489" s="291">
        <v>156225</v>
      </c>
      <c r="I489" s="291">
        <v>151945</v>
      </c>
      <c r="J489" s="291">
        <v>-151945</v>
      </c>
      <c r="K489" s="289" t="s">
        <v>1731</v>
      </c>
      <c r="L489" s="288" t="s">
        <v>1773</v>
      </c>
      <c r="M489" s="288" t="s">
        <v>1774</v>
      </c>
      <c r="N489" s="288" t="s">
        <v>1734</v>
      </c>
      <c r="O489" s="289" t="s">
        <v>1791</v>
      </c>
      <c r="P489" s="292"/>
    </row>
    <row r="490" spans="1:17" hidden="1" x14ac:dyDescent="0.25">
      <c r="A490" s="287" t="s">
        <v>2923</v>
      </c>
      <c r="B490" s="311" t="s">
        <v>2924</v>
      </c>
      <c r="C490" s="62"/>
      <c r="D490" s="288" t="s">
        <v>2925</v>
      </c>
      <c r="E490" s="288" t="s">
        <v>1741</v>
      </c>
      <c r="F490" s="289"/>
      <c r="G490" s="290">
        <v>45538</v>
      </c>
      <c r="H490" s="291">
        <v>59344</v>
      </c>
      <c r="I490" s="291">
        <v>59344</v>
      </c>
      <c r="J490" s="291">
        <v>0</v>
      </c>
      <c r="K490" s="289" t="s">
        <v>1731</v>
      </c>
      <c r="L490" s="288" t="s">
        <v>1732</v>
      </c>
      <c r="M490" s="288" t="s">
        <v>1733</v>
      </c>
      <c r="N490" s="288" t="s">
        <v>1734</v>
      </c>
      <c r="O490" s="289" t="s">
        <v>1791</v>
      </c>
      <c r="P490" s="292"/>
    </row>
    <row r="491" spans="1:17" hidden="1" x14ac:dyDescent="0.25">
      <c r="A491" s="287" t="s">
        <v>2926</v>
      </c>
      <c r="B491" s="311" t="s">
        <v>2927</v>
      </c>
      <c r="C491" s="62"/>
      <c r="D491" s="288" t="s">
        <v>2928</v>
      </c>
      <c r="E491" s="288"/>
      <c r="F491" s="289"/>
      <c r="G491" s="290">
        <v>45744</v>
      </c>
      <c r="H491" s="291">
        <v>2536.0300000000002</v>
      </c>
      <c r="I491" s="291">
        <v>2536.0300000000002</v>
      </c>
      <c r="J491" s="291">
        <v>0</v>
      </c>
      <c r="K491" s="289" t="s">
        <v>1731</v>
      </c>
      <c r="L491" s="288" t="s">
        <v>1732</v>
      </c>
      <c r="M491" s="288" t="s">
        <v>1733</v>
      </c>
      <c r="N491" s="288" t="s">
        <v>1734</v>
      </c>
      <c r="O491" s="289" t="s">
        <v>1791</v>
      </c>
      <c r="P491" s="292"/>
    </row>
    <row r="492" spans="1:17" hidden="1" x14ac:dyDescent="0.25">
      <c r="A492" s="287" t="s">
        <v>2926</v>
      </c>
      <c r="B492" s="311" t="s">
        <v>2927</v>
      </c>
      <c r="C492" s="62"/>
      <c r="D492" s="288" t="s">
        <v>2928</v>
      </c>
      <c r="E492" s="288" t="s">
        <v>1741</v>
      </c>
      <c r="F492" s="289">
        <v>8701169051</v>
      </c>
      <c r="G492" s="290">
        <v>45386</v>
      </c>
      <c r="H492" s="291">
        <v>99</v>
      </c>
      <c r="I492" s="291">
        <v>99</v>
      </c>
      <c r="J492" s="291">
        <v>0</v>
      </c>
      <c r="K492" s="289" t="s">
        <v>1731</v>
      </c>
      <c r="L492" s="288" t="s">
        <v>1732</v>
      </c>
      <c r="M492" s="288" t="s">
        <v>1733</v>
      </c>
      <c r="N492" s="288" t="s">
        <v>1734</v>
      </c>
      <c r="O492" s="289" t="s">
        <v>2901</v>
      </c>
      <c r="P492" s="292"/>
    </row>
    <row r="493" spans="1:17" s="364" customFormat="1" ht="135" x14ac:dyDescent="0.25">
      <c r="A493" s="293" t="s">
        <v>2929</v>
      </c>
      <c r="B493" s="312" t="s">
        <v>591</v>
      </c>
      <c r="C493" s="216" t="s">
        <v>4444</v>
      </c>
      <c r="D493" s="294" t="s">
        <v>2930</v>
      </c>
      <c r="E493" s="294" t="s">
        <v>592</v>
      </c>
      <c r="F493" s="295">
        <v>8000746279</v>
      </c>
      <c r="G493" s="296">
        <v>45863</v>
      </c>
      <c r="H493" s="297">
        <v>18468934.579999998</v>
      </c>
      <c r="I493" s="297">
        <v>18468934.579999998</v>
      </c>
      <c r="J493" s="297">
        <v>0</v>
      </c>
      <c r="K493" s="295" t="s">
        <v>1731</v>
      </c>
      <c r="L493" s="294" t="s">
        <v>1773</v>
      </c>
      <c r="M493" s="294" t="s">
        <v>1774</v>
      </c>
      <c r="N493" s="294" t="s">
        <v>1734</v>
      </c>
      <c r="O493" s="295" t="s">
        <v>2268</v>
      </c>
      <c r="P493" s="298"/>
      <c r="Q493" s="364">
        <v>1</v>
      </c>
    </row>
    <row r="494" spans="1:17" hidden="1" x14ac:dyDescent="0.25">
      <c r="A494" s="287" t="s">
        <v>2931</v>
      </c>
      <c r="B494" s="311" t="s">
        <v>2381</v>
      </c>
      <c r="C494" s="62"/>
      <c r="D494" s="288" t="s">
        <v>2382</v>
      </c>
      <c r="E494" s="288" t="s">
        <v>1741</v>
      </c>
      <c r="F494" s="289"/>
      <c r="G494" s="290">
        <v>45565</v>
      </c>
      <c r="H494" s="291">
        <v>46758.82</v>
      </c>
      <c r="I494" s="291">
        <v>46758.82</v>
      </c>
      <c r="J494" s="291">
        <v>0</v>
      </c>
      <c r="K494" s="289" t="s">
        <v>1731</v>
      </c>
      <c r="L494" s="288" t="s">
        <v>1732</v>
      </c>
      <c r="M494" s="288" t="s">
        <v>1733</v>
      </c>
      <c r="N494" s="288" t="s">
        <v>1734</v>
      </c>
      <c r="O494" s="289" t="s">
        <v>1791</v>
      </c>
      <c r="P494" s="292"/>
    </row>
    <row r="495" spans="1:17" ht="26.25" hidden="1" x14ac:dyDescent="0.25">
      <c r="A495" s="287" t="s">
        <v>2932</v>
      </c>
      <c r="B495" s="311" t="s">
        <v>2933</v>
      </c>
      <c r="C495" s="62"/>
      <c r="D495" s="288" t="s">
        <v>2934</v>
      </c>
      <c r="E495" s="288" t="s">
        <v>2935</v>
      </c>
      <c r="F495" s="289">
        <v>4000154803</v>
      </c>
      <c r="G495" s="290">
        <v>46081</v>
      </c>
      <c r="H495" s="291">
        <v>30517.94</v>
      </c>
      <c r="I495" s="291">
        <v>15258.97</v>
      </c>
      <c r="J495" s="291">
        <v>0</v>
      </c>
      <c r="K495" s="289" t="s">
        <v>1731</v>
      </c>
      <c r="L495" s="288" t="s">
        <v>1780</v>
      </c>
      <c r="M495" s="288" t="s">
        <v>1781</v>
      </c>
      <c r="N495" s="288" t="s">
        <v>1751</v>
      </c>
      <c r="O495" s="289" t="s">
        <v>1782</v>
      </c>
      <c r="P495" s="292"/>
    </row>
    <row r="496" spans="1:17" ht="26.25" hidden="1" x14ac:dyDescent="0.25">
      <c r="A496" s="287" t="s">
        <v>2932</v>
      </c>
      <c r="B496" s="311" t="s">
        <v>2933</v>
      </c>
      <c r="C496" s="62"/>
      <c r="D496" s="288" t="s">
        <v>2934</v>
      </c>
      <c r="E496" s="288" t="s">
        <v>2936</v>
      </c>
      <c r="F496" s="289">
        <v>4000185777</v>
      </c>
      <c r="G496" s="290">
        <v>46078</v>
      </c>
      <c r="H496" s="291">
        <v>103668.46</v>
      </c>
      <c r="I496" s="291">
        <v>0</v>
      </c>
      <c r="J496" s="291">
        <v>0</v>
      </c>
      <c r="K496" s="289" t="s">
        <v>1731</v>
      </c>
      <c r="L496" s="288" t="s">
        <v>1754</v>
      </c>
      <c r="M496" s="288" t="s">
        <v>1755</v>
      </c>
      <c r="N496" s="288" t="s">
        <v>1751</v>
      </c>
      <c r="O496" s="289" t="s">
        <v>1787</v>
      </c>
      <c r="P496" s="292"/>
    </row>
    <row r="497" spans="1:17" hidden="1" x14ac:dyDescent="0.25">
      <c r="A497" s="287" t="s">
        <v>2937</v>
      </c>
      <c r="B497" s="311" t="s">
        <v>2938</v>
      </c>
      <c r="C497" s="62"/>
      <c r="D497" s="288" t="s">
        <v>2939</v>
      </c>
      <c r="E497" s="288"/>
      <c r="F497" s="289">
        <v>8701534992</v>
      </c>
      <c r="G497" s="290">
        <v>45796</v>
      </c>
      <c r="H497" s="291">
        <v>3928.88</v>
      </c>
      <c r="I497" s="291">
        <v>3928.88</v>
      </c>
      <c r="J497" s="291">
        <v>0</v>
      </c>
      <c r="K497" s="289" t="s">
        <v>1731</v>
      </c>
      <c r="L497" s="288" t="s">
        <v>1732</v>
      </c>
      <c r="M497" s="288" t="s">
        <v>1733</v>
      </c>
      <c r="N497" s="288" t="s">
        <v>1734</v>
      </c>
      <c r="O497" s="289" t="s">
        <v>1796</v>
      </c>
      <c r="P497" s="292"/>
    </row>
    <row r="498" spans="1:17" hidden="1" x14ac:dyDescent="0.25">
      <c r="A498" s="287" t="s">
        <v>2940</v>
      </c>
      <c r="B498" s="311" t="s">
        <v>2941</v>
      </c>
      <c r="C498" s="62"/>
      <c r="D498" s="288" t="s">
        <v>2942</v>
      </c>
      <c r="E498" s="288" t="s">
        <v>2943</v>
      </c>
      <c r="F498" s="289">
        <v>4000144374</v>
      </c>
      <c r="G498" s="290">
        <v>45443</v>
      </c>
      <c r="H498" s="291">
        <v>7150.21</v>
      </c>
      <c r="I498" s="291">
        <v>7150.21</v>
      </c>
      <c r="J498" s="291">
        <v>-7150.21</v>
      </c>
      <c r="K498" s="289" t="s">
        <v>1731</v>
      </c>
      <c r="L498" s="288" t="s">
        <v>1780</v>
      </c>
      <c r="M498" s="288" t="s">
        <v>1781</v>
      </c>
      <c r="N498" s="288" t="s">
        <v>1751</v>
      </c>
      <c r="O498" s="289" t="s">
        <v>1782</v>
      </c>
      <c r="P498" s="292"/>
    </row>
    <row r="499" spans="1:17" hidden="1" x14ac:dyDescent="0.25">
      <c r="A499" s="287" t="s">
        <v>2944</v>
      </c>
      <c r="B499" s="311" t="s">
        <v>2945</v>
      </c>
      <c r="C499" s="62"/>
      <c r="D499" s="288" t="s">
        <v>2946</v>
      </c>
      <c r="E499" s="288" t="s">
        <v>1741</v>
      </c>
      <c r="F499" s="289"/>
      <c r="G499" s="290">
        <v>45461</v>
      </c>
      <c r="H499" s="291">
        <v>18000</v>
      </c>
      <c r="I499" s="291">
        <v>18000</v>
      </c>
      <c r="J499" s="291">
        <v>-18000</v>
      </c>
      <c r="K499" s="289" t="s">
        <v>1731</v>
      </c>
      <c r="L499" s="288" t="s">
        <v>1773</v>
      </c>
      <c r="M499" s="288" t="s">
        <v>1774</v>
      </c>
      <c r="N499" s="288" t="s">
        <v>1734</v>
      </c>
      <c r="O499" s="289" t="s">
        <v>1791</v>
      </c>
      <c r="P499" s="292"/>
    </row>
    <row r="500" spans="1:17" hidden="1" x14ac:dyDescent="0.25">
      <c r="A500" s="287" t="s">
        <v>2947</v>
      </c>
      <c r="B500" s="311" t="s">
        <v>2941</v>
      </c>
      <c r="C500" s="62"/>
      <c r="D500" s="288" t="s">
        <v>2948</v>
      </c>
      <c r="E500" s="288" t="s">
        <v>1741</v>
      </c>
      <c r="F500" s="289"/>
      <c r="G500" s="290">
        <v>45540</v>
      </c>
      <c r="H500" s="291">
        <v>7310</v>
      </c>
      <c r="I500" s="291">
        <v>7310</v>
      </c>
      <c r="J500" s="291">
        <v>-7310</v>
      </c>
      <c r="K500" s="289" t="s">
        <v>1731</v>
      </c>
      <c r="L500" s="288" t="s">
        <v>1732</v>
      </c>
      <c r="M500" s="288" t="s">
        <v>1733</v>
      </c>
      <c r="N500" s="288" t="s">
        <v>1734</v>
      </c>
      <c r="O500" s="289" t="s">
        <v>1791</v>
      </c>
      <c r="P500" s="292"/>
    </row>
    <row r="501" spans="1:17" hidden="1" x14ac:dyDescent="0.25">
      <c r="A501" s="287" t="s">
        <v>2949</v>
      </c>
      <c r="B501" s="311" t="s">
        <v>2950</v>
      </c>
      <c r="C501" s="62"/>
      <c r="D501" s="288" t="s">
        <v>2951</v>
      </c>
      <c r="E501" s="288" t="s">
        <v>1741</v>
      </c>
      <c r="F501" s="289"/>
      <c r="G501" s="290">
        <v>45548</v>
      </c>
      <c r="H501" s="291">
        <v>888087</v>
      </c>
      <c r="I501" s="291">
        <v>888087</v>
      </c>
      <c r="J501" s="291">
        <v>-1416.88</v>
      </c>
      <c r="K501" s="289" t="s">
        <v>1731</v>
      </c>
      <c r="L501" s="288" t="s">
        <v>1732</v>
      </c>
      <c r="M501" s="288" t="s">
        <v>1733</v>
      </c>
      <c r="N501" s="288" t="s">
        <v>1734</v>
      </c>
      <c r="O501" s="289" t="s">
        <v>1791</v>
      </c>
      <c r="P501" s="292"/>
    </row>
    <row r="502" spans="1:17" hidden="1" x14ac:dyDescent="0.25">
      <c r="A502" s="287" t="s">
        <v>2952</v>
      </c>
      <c r="B502" s="311" t="s">
        <v>2953</v>
      </c>
      <c r="C502" s="62"/>
      <c r="D502" s="288" t="s">
        <v>2954</v>
      </c>
      <c r="E502" s="288" t="s">
        <v>1741</v>
      </c>
      <c r="F502" s="289"/>
      <c r="G502" s="290">
        <v>45574</v>
      </c>
      <c r="H502" s="291">
        <v>359527.5</v>
      </c>
      <c r="I502" s="291">
        <v>359527.5</v>
      </c>
      <c r="J502" s="291">
        <v>-359527.5</v>
      </c>
      <c r="K502" s="289" t="s">
        <v>1731</v>
      </c>
      <c r="L502" s="288" t="s">
        <v>1773</v>
      </c>
      <c r="M502" s="288" t="s">
        <v>1774</v>
      </c>
      <c r="N502" s="288" t="s">
        <v>1734</v>
      </c>
      <c r="O502" s="289" t="s">
        <v>1791</v>
      </c>
      <c r="P502" s="292"/>
    </row>
    <row r="503" spans="1:17" hidden="1" x14ac:dyDescent="0.25">
      <c r="A503" s="287" t="s">
        <v>2955</v>
      </c>
      <c r="B503" s="311" t="s">
        <v>2956</v>
      </c>
      <c r="C503" s="62"/>
      <c r="D503" s="288" t="s">
        <v>2957</v>
      </c>
      <c r="E503" s="288" t="s">
        <v>2958</v>
      </c>
      <c r="F503" s="289">
        <v>4000190190</v>
      </c>
      <c r="G503" s="290">
        <v>46081</v>
      </c>
      <c r="H503" s="291">
        <v>37251.379999999997</v>
      </c>
      <c r="I503" s="291">
        <v>18625.689999999999</v>
      </c>
      <c r="J503" s="291">
        <v>0</v>
      </c>
      <c r="K503" s="289" t="s">
        <v>1731</v>
      </c>
      <c r="L503" s="288" t="s">
        <v>1754</v>
      </c>
      <c r="M503" s="288" t="s">
        <v>1755</v>
      </c>
      <c r="N503" s="288" t="s">
        <v>1751</v>
      </c>
      <c r="O503" s="289" t="s">
        <v>1782</v>
      </c>
      <c r="P503" s="292"/>
    </row>
    <row r="504" spans="1:17" hidden="1" x14ac:dyDescent="0.25">
      <c r="A504" s="287" t="s">
        <v>2959</v>
      </c>
      <c r="B504" s="311" t="s">
        <v>2960</v>
      </c>
      <c r="C504" s="62"/>
      <c r="D504" s="288" t="s">
        <v>2961</v>
      </c>
      <c r="E504" s="288"/>
      <c r="F504" s="289">
        <v>8701106138</v>
      </c>
      <c r="G504" s="290">
        <v>45330</v>
      </c>
      <c r="H504" s="291">
        <v>68080</v>
      </c>
      <c r="I504" s="291">
        <v>68080</v>
      </c>
      <c r="J504" s="291">
        <v>-68080</v>
      </c>
      <c r="K504" s="289" t="s">
        <v>1731</v>
      </c>
      <c r="L504" s="288" t="s">
        <v>1732</v>
      </c>
      <c r="M504" s="288" t="s">
        <v>1733</v>
      </c>
      <c r="N504" s="288" t="s">
        <v>1734</v>
      </c>
      <c r="O504" s="289" t="s">
        <v>2962</v>
      </c>
      <c r="P504" s="292"/>
    </row>
    <row r="505" spans="1:17" hidden="1" x14ac:dyDescent="0.25">
      <c r="A505" s="287" t="s">
        <v>2963</v>
      </c>
      <c r="B505" s="311" t="s">
        <v>2964</v>
      </c>
      <c r="C505" s="62"/>
      <c r="D505" s="288" t="s">
        <v>2965</v>
      </c>
      <c r="E505" s="288" t="s">
        <v>1741</v>
      </c>
      <c r="F505" s="289">
        <v>8701757934</v>
      </c>
      <c r="G505" s="290">
        <v>46058</v>
      </c>
      <c r="H505" s="291">
        <v>97996</v>
      </c>
      <c r="I505" s="291">
        <v>0</v>
      </c>
      <c r="J505" s="291">
        <v>0</v>
      </c>
      <c r="K505" s="289" t="s">
        <v>1731</v>
      </c>
      <c r="L505" s="288" t="s">
        <v>1732</v>
      </c>
      <c r="M505" s="288" t="s">
        <v>1733</v>
      </c>
      <c r="N505" s="288" t="s">
        <v>1734</v>
      </c>
      <c r="O505" s="289" t="s">
        <v>1874</v>
      </c>
      <c r="P505" s="292"/>
    </row>
    <row r="506" spans="1:17" hidden="1" x14ac:dyDescent="0.25">
      <c r="A506" s="287" t="s">
        <v>2963</v>
      </c>
      <c r="B506" s="311" t="s">
        <v>2964</v>
      </c>
      <c r="C506" s="62"/>
      <c r="D506" s="288" t="s">
        <v>2965</v>
      </c>
      <c r="E506" s="288" t="s">
        <v>1741</v>
      </c>
      <c r="F506" s="289">
        <v>8701772748</v>
      </c>
      <c r="G506" s="290">
        <v>46079</v>
      </c>
      <c r="H506" s="291">
        <v>64596</v>
      </c>
      <c r="I506" s="291">
        <v>0</v>
      </c>
      <c r="J506" s="291">
        <v>0</v>
      </c>
      <c r="K506" s="289" t="s">
        <v>1731</v>
      </c>
      <c r="L506" s="288" t="s">
        <v>1732</v>
      </c>
      <c r="M506" s="288" t="s">
        <v>1733</v>
      </c>
      <c r="N506" s="288" t="s">
        <v>1734</v>
      </c>
      <c r="O506" s="289" t="s">
        <v>1874</v>
      </c>
      <c r="P506" s="292"/>
    </row>
    <row r="507" spans="1:17" hidden="1" x14ac:dyDescent="0.25">
      <c r="A507" s="287" t="s">
        <v>2966</v>
      </c>
      <c r="B507" s="311" t="s">
        <v>2967</v>
      </c>
      <c r="C507" s="62"/>
      <c r="D507" s="288" t="s">
        <v>2968</v>
      </c>
      <c r="E507" s="288" t="s">
        <v>1741</v>
      </c>
      <c r="F507" s="289"/>
      <c r="G507" s="290">
        <v>45551</v>
      </c>
      <c r="H507" s="291">
        <v>35000</v>
      </c>
      <c r="I507" s="291">
        <v>35000</v>
      </c>
      <c r="J507" s="291">
        <v>-35000</v>
      </c>
      <c r="K507" s="289" t="s">
        <v>1731</v>
      </c>
      <c r="L507" s="288" t="s">
        <v>1773</v>
      </c>
      <c r="M507" s="288" t="s">
        <v>1774</v>
      </c>
      <c r="N507" s="288" t="s">
        <v>1734</v>
      </c>
      <c r="O507" s="289" t="s">
        <v>1791</v>
      </c>
      <c r="P507" s="292"/>
    </row>
    <row r="508" spans="1:17" hidden="1" x14ac:dyDescent="0.25">
      <c r="A508" s="287" t="s">
        <v>2969</v>
      </c>
      <c r="B508" s="311" t="s">
        <v>14</v>
      </c>
      <c r="C508" s="62"/>
      <c r="D508" s="288" t="s">
        <v>17</v>
      </c>
      <c r="E508" s="288" t="s">
        <v>2970</v>
      </c>
      <c r="F508" s="289">
        <v>8000725532</v>
      </c>
      <c r="G508" s="290">
        <v>45622</v>
      </c>
      <c r="H508" s="291">
        <v>3291979.92</v>
      </c>
      <c r="I508" s="291">
        <v>3291979.92</v>
      </c>
      <c r="J508" s="291">
        <v>-2473264.35</v>
      </c>
      <c r="K508" s="289" t="s">
        <v>1731</v>
      </c>
      <c r="L508" s="288" t="s">
        <v>1773</v>
      </c>
      <c r="M508" s="288" t="s">
        <v>1774</v>
      </c>
      <c r="N508" s="288" t="s">
        <v>1734</v>
      </c>
      <c r="O508" s="289" t="s">
        <v>2971</v>
      </c>
      <c r="P508" s="292"/>
    </row>
    <row r="509" spans="1:17" s="364" customFormat="1" ht="60" x14ac:dyDescent="0.25">
      <c r="A509" s="293" t="s">
        <v>2969</v>
      </c>
      <c r="B509" s="312" t="s">
        <v>14</v>
      </c>
      <c r="C509" s="216" t="s">
        <v>1386</v>
      </c>
      <c r="D509" s="294" t="s">
        <v>17</v>
      </c>
      <c r="E509" s="294" t="s">
        <v>538</v>
      </c>
      <c r="F509" s="295">
        <v>8000738075</v>
      </c>
      <c r="G509" s="296">
        <v>45813</v>
      </c>
      <c r="H509" s="297">
        <v>3000000</v>
      </c>
      <c r="I509" s="297">
        <v>3000000</v>
      </c>
      <c r="J509" s="297">
        <v>0</v>
      </c>
      <c r="K509" s="295" t="s">
        <v>1731</v>
      </c>
      <c r="L509" s="294" t="s">
        <v>1773</v>
      </c>
      <c r="M509" s="294" t="s">
        <v>1774</v>
      </c>
      <c r="N509" s="294" t="s">
        <v>1734</v>
      </c>
      <c r="O509" s="295" t="s">
        <v>2268</v>
      </c>
      <c r="P509" s="298"/>
      <c r="Q509" s="364">
        <v>1</v>
      </c>
    </row>
    <row r="510" spans="1:17" s="364" customFormat="1" ht="120" x14ac:dyDescent="0.25">
      <c r="A510" s="293" t="s">
        <v>2969</v>
      </c>
      <c r="B510" s="312" t="s">
        <v>14</v>
      </c>
      <c r="C510" s="216" t="s">
        <v>1691</v>
      </c>
      <c r="D510" s="294" t="s">
        <v>17</v>
      </c>
      <c r="E510" s="294" t="s">
        <v>1004</v>
      </c>
      <c r="F510" s="295">
        <v>8000760265</v>
      </c>
      <c r="G510" s="296">
        <v>45911</v>
      </c>
      <c r="H510" s="297">
        <v>3000000</v>
      </c>
      <c r="I510" s="297">
        <v>3000000</v>
      </c>
      <c r="J510" s="297">
        <v>0</v>
      </c>
      <c r="K510" s="295" t="s">
        <v>1731</v>
      </c>
      <c r="L510" s="294" t="s">
        <v>1773</v>
      </c>
      <c r="M510" s="294" t="s">
        <v>1774</v>
      </c>
      <c r="N510" s="294" t="s">
        <v>1734</v>
      </c>
      <c r="O510" s="295" t="s">
        <v>2971</v>
      </c>
      <c r="P510" s="298"/>
      <c r="Q510" s="364">
        <v>1</v>
      </c>
    </row>
    <row r="511" spans="1:17" hidden="1" x14ac:dyDescent="0.25">
      <c r="A511" s="287" t="s">
        <v>2972</v>
      </c>
      <c r="B511" s="311" t="s">
        <v>2973</v>
      </c>
      <c r="C511" s="62"/>
      <c r="D511" s="288" t="s">
        <v>2974</v>
      </c>
      <c r="E511" s="288" t="s">
        <v>2975</v>
      </c>
      <c r="F511" s="289">
        <v>4000193738</v>
      </c>
      <c r="G511" s="290">
        <v>45975</v>
      </c>
      <c r="H511" s="291">
        <v>2685.36</v>
      </c>
      <c r="I511" s="291">
        <v>2685.36</v>
      </c>
      <c r="J511" s="291">
        <v>0</v>
      </c>
      <c r="K511" s="289" t="s">
        <v>1731</v>
      </c>
      <c r="L511" s="288" t="s">
        <v>1754</v>
      </c>
      <c r="M511" s="288" t="s">
        <v>1755</v>
      </c>
      <c r="N511" s="288" t="s">
        <v>1751</v>
      </c>
      <c r="O511" s="289" t="s">
        <v>2976</v>
      </c>
      <c r="P511" s="292"/>
    </row>
    <row r="512" spans="1:17" hidden="1" x14ac:dyDescent="0.25">
      <c r="A512" s="287" t="s">
        <v>2977</v>
      </c>
      <c r="B512" s="311" t="s">
        <v>2978</v>
      </c>
      <c r="C512" s="62"/>
      <c r="D512" s="288" t="s">
        <v>2979</v>
      </c>
      <c r="E512" s="288"/>
      <c r="F512" s="289">
        <v>8701579903</v>
      </c>
      <c r="G512" s="290">
        <v>45848</v>
      </c>
      <c r="H512" s="291">
        <v>99944.51</v>
      </c>
      <c r="I512" s="291">
        <v>99944.51</v>
      </c>
      <c r="J512" s="291">
        <v>0</v>
      </c>
      <c r="K512" s="289" t="s">
        <v>1731</v>
      </c>
      <c r="L512" s="288" t="s">
        <v>1732</v>
      </c>
      <c r="M512" s="288" t="s">
        <v>1733</v>
      </c>
      <c r="N512" s="288" t="s">
        <v>1734</v>
      </c>
      <c r="O512" s="289" t="s">
        <v>1735</v>
      </c>
      <c r="P512" s="292"/>
    </row>
    <row r="513" spans="1:17" hidden="1" x14ac:dyDescent="0.25">
      <c r="A513" s="287" t="s">
        <v>2980</v>
      </c>
      <c r="B513" s="311" t="s">
        <v>2981</v>
      </c>
      <c r="C513" s="62"/>
      <c r="D513" s="288" t="s">
        <v>2982</v>
      </c>
      <c r="E513" s="288"/>
      <c r="F513" s="289"/>
      <c r="G513" s="290">
        <v>45639</v>
      </c>
      <c r="H513" s="291">
        <v>42000</v>
      </c>
      <c r="I513" s="291">
        <v>42000</v>
      </c>
      <c r="J513" s="291">
        <v>-42000</v>
      </c>
      <c r="K513" s="289" t="s">
        <v>1731</v>
      </c>
      <c r="L513" s="288" t="s">
        <v>1732</v>
      </c>
      <c r="M513" s="288" t="s">
        <v>1733</v>
      </c>
      <c r="N513" s="288" t="s">
        <v>1734</v>
      </c>
      <c r="O513" s="289" t="s">
        <v>1791</v>
      </c>
      <c r="P513" s="292"/>
    </row>
    <row r="514" spans="1:17" hidden="1" x14ac:dyDescent="0.25">
      <c r="A514" s="287" t="s">
        <v>2980</v>
      </c>
      <c r="B514" s="311" t="s">
        <v>2981</v>
      </c>
      <c r="C514" s="62"/>
      <c r="D514" s="288" t="s">
        <v>2982</v>
      </c>
      <c r="E514" s="288" t="s">
        <v>1741</v>
      </c>
      <c r="F514" s="289"/>
      <c r="G514" s="290">
        <v>45540</v>
      </c>
      <c r="H514" s="291">
        <v>290930.73</v>
      </c>
      <c r="I514" s="291">
        <v>290930.73</v>
      </c>
      <c r="J514" s="291">
        <v>-290930.73</v>
      </c>
      <c r="K514" s="289" t="s">
        <v>1731</v>
      </c>
      <c r="L514" s="288" t="s">
        <v>1732</v>
      </c>
      <c r="M514" s="288" t="s">
        <v>1733</v>
      </c>
      <c r="N514" s="288" t="s">
        <v>1734</v>
      </c>
      <c r="O514" s="289" t="s">
        <v>1791</v>
      </c>
      <c r="P514" s="292"/>
    </row>
    <row r="515" spans="1:17" hidden="1" x14ac:dyDescent="0.25">
      <c r="A515" s="287" t="s">
        <v>2983</v>
      </c>
      <c r="B515" s="311" t="s">
        <v>2984</v>
      </c>
      <c r="C515" s="62"/>
      <c r="D515" s="288" t="s">
        <v>2985</v>
      </c>
      <c r="E515" s="288"/>
      <c r="F515" s="289">
        <v>8701763055</v>
      </c>
      <c r="G515" s="290">
        <v>46079</v>
      </c>
      <c r="H515" s="291">
        <v>16500</v>
      </c>
      <c r="I515" s="291">
        <v>16500</v>
      </c>
      <c r="J515" s="291">
        <v>0</v>
      </c>
      <c r="K515" s="289" t="s">
        <v>1731</v>
      </c>
      <c r="L515" s="288" t="s">
        <v>1773</v>
      </c>
      <c r="M515" s="288" t="s">
        <v>1774</v>
      </c>
      <c r="N515" s="288" t="s">
        <v>1734</v>
      </c>
      <c r="O515" s="289" t="s">
        <v>2986</v>
      </c>
      <c r="P515" s="292"/>
    </row>
    <row r="516" spans="1:17" hidden="1" x14ac:dyDescent="0.25">
      <c r="A516" s="287" t="s">
        <v>2987</v>
      </c>
      <c r="B516" s="311" t="s">
        <v>2988</v>
      </c>
      <c r="C516" s="62"/>
      <c r="D516" s="288" t="s">
        <v>2989</v>
      </c>
      <c r="E516" s="288" t="s">
        <v>2990</v>
      </c>
      <c r="F516" s="289">
        <v>4000194227</v>
      </c>
      <c r="G516" s="290">
        <v>45658</v>
      </c>
      <c r="H516" s="291">
        <v>12795.84</v>
      </c>
      <c r="I516" s="291">
        <v>12795.84</v>
      </c>
      <c r="J516" s="291">
        <v>0</v>
      </c>
      <c r="K516" s="289" t="s">
        <v>1731</v>
      </c>
      <c r="L516" s="288" t="s">
        <v>1754</v>
      </c>
      <c r="M516" s="288" t="s">
        <v>1755</v>
      </c>
      <c r="N516" s="288" t="s">
        <v>1751</v>
      </c>
      <c r="O516" s="289" t="s">
        <v>1787</v>
      </c>
      <c r="P516" s="292"/>
    </row>
    <row r="517" spans="1:17" hidden="1" x14ac:dyDescent="0.25">
      <c r="A517" s="287" t="s">
        <v>2991</v>
      </c>
      <c r="B517" s="311" t="s">
        <v>2992</v>
      </c>
      <c r="C517" s="62"/>
      <c r="D517" s="288" t="s">
        <v>2993</v>
      </c>
      <c r="E517" s="288" t="s">
        <v>2994</v>
      </c>
      <c r="F517" s="289">
        <v>8000503571</v>
      </c>
      <c r="G517" s="290">
        <v>44923</v>
      </c>
      <c r="H517" s="291">
        <v>2229354.69</v>
      </c>
      <c r="I517" s="291">
        <v>2229354.69</v>
      </c>
      <c r="J517" s="291">
        <v>-911396.89</v>
      </c>
      <c r="K517" s="289" t="s">
        <v>1731</v>
      </c>
      <c r="L517" s="288" t="s">
        <v>1773</v>
      </c>
      <c r="M517" s="288" t="s">
        <v>1774</v>
      </c>
      <c r="N517" s="288" t="s">
        <v>1734</v>
      </c>
      <c r="O517" s="289" t="s">
        <v>1768</v>
      </c>
      <c r="P517" s="292"/>
    </row>
    <row r="518" spans="1:17" hidden="1" x14ac:dyDescent="0.25">
      <c r="A518" s="287" t="s">
        <v>2991</v>
      </c>
      <c r="B518" s="311" t="s">
        <v>2992</v>
      </c>
      <c r="C518" s="62"/>
      <c r="D518" s="288" t="s">
        <v>2993</v>
      </c>
      <c r="E518" s="288" t="s">
        <v>2994</v>
      </c>
      <c r="F518" s="289">
        <v>4000180888</v>
      </c>
      <c r="G518" s="290">
        <v>45251</v>
      </c>
      <c r="H518" s="291">
        <v>19144.75</v>
      </c>
      <c r="I518" s="291">
        <v>19144.75</v>
      </c>
      <c r="J518" s="291">
        <v>-19144.75</v>
      </c>
      <c r="K518" s="289" t="s">
        <v>1731</v>
      </c>
      <c r="L518" s="288" t="s">
        <v>1754</v>
      </c>
      <c r="M518" s="288" t="s">
        <v>1755</v>
      </c>
      <c r="N518" s="288" t="s">
        <v>1751</v>
      </c>
      <c r="O518" s="289" t="s">
        <v>2976</v>
      </c>
      <c r="P518" s="292"/>
    </row>
    <row r="519" spans="1:17" hidden="1" x14ac:dyDescent="0.25">
      <c r="A519" s="287" t="s">
        <v>2991</v>
      </c>
      <c r="B519" s="311" t="s">
        <v>2992</v>
      </c>
      <c r="C519" s="62"/>
      <c r="D519" s="288" t="s">
        <v>2993</v>
      </c>
      <c r="E519" s="288" t="s">
        <v>2994</v>
      </c>
      <c r="F519" s="289">
        <v>8000503571</v>
      </c>
      <c r="G519" s="290">
        <v>45963</v>
      </c>
      <c r="H519" s="291">
        <v>3487747.28</v>
      </c>
      <c r="I519" s="291">
        <v>3487747.28</v>
      </c>
      <c r="J519" s="291">
        <v>-911396.89</v>
      </c>
      <c r="K519" s="289" t="s">
        <v>1731</v>
      </c>
      <c r="L519" s="288" t="s">
        <v>1828</v>
      </c>
      <c r="M519" s="288" t="s">
        <v>1829</v>
      </c>
      <c r="N519" s="288" t="s">
        <v>1830</v>
      </c>
      <c r="O519" s="289" t="s">
        <v>1768</v>
      </c>
      <c r="P519" s="292"/>
    </row>
    <row r="520" spans="1:17" hidden="1" x14ac:dyDescent="0.25">
      <c r="A520" s="287" t="s">
        <v>2995</v>
      </c>
      <c r="B520" s="311" t="s">
        <v>43</v>
      </c>
      <c r="C520" s="62"/>
      <c r="D520" s="288" t="s">
        <v>2996</v>
      </c>
      <c r="E520" s="288" t="s">
        <v>2997</v>
      </c>
      <c r="F520" s="289">
        <v>8000460446</v>
      </c>
      <c r="G520" s="290">
        <v>45486</v>
      </c>
      <c r="H520" s="291">
        <v>30000</v>
      </c>
      <c r="I520" s="291">
        <v>30000</v>
      </c>
      <c r="J520" s="291">
        <v>-30000</v>
      </c>
      <c r="K520" s="289" t="s">
        <v>1731</v>
      </c>
      <c r="L520" s="288" t="s">
        <v>1828</v>
      </c>
      <c r="M520" s="288" t="s">
        <v>1829</v>
      </c>
      <c r="N520" s="288" t="s">
        <v>1830</v>
      </c>
      <c r="O520" s="289" t="s">
        <v>1955</v>
      </c>
      <c r="P520" s="292"/>
    </row>
    <row r="521" spans="1:17" hidden="1" x14ac:dyDescent="0.25">
      <c r="A521" s="287" t="s">
        <v>2995</v>
      </c>
      <c r="B521" s="311" t="s">
        <v>43</v>
      </c>
      <c r="C521" s="62"/>
      <c r="D521" s="288" t="s">
        <v>2996</v>
      </c>
      <c r="E521" s="288" t="s">
        <v>2998</v>
      </c>
      <c r="F521" s="289">
        <v>4000165980</v>
      </c>
      <c r="G521" s="290">
        <v>45444</v>
      </c>
      <c r="H521" s="291">
        <v>439326.46</v>
      </c>
      <c r="I521" s="291">
        <v>439326.46</v>
      </c>
      <c r="J521" s="291">
        <v>-439326.46</v>
      </c>
      <c r="K521" s="289" t="s">
        <v>1731</v>
      </c>
      <c r="L521" s="288" t="s">
        <v>1754</v>
      </c>
      <c r="M521" s="288" t="s">
        <v>1755</v>
      </c>
      <c r="N521" s="288" t="s">
        <v>1751</v>
      </c>
      <c r="O521" s="289" t="s">
        <v>1787</v>
      </c>
      <c r="P521" s="292"/>
    </row>
    <row r="522" spans="1:17" s="364" customFormat="1" ht="135" x14ac:dyDescent="0.25">
      <c r="A522" s="293" t="s">
        <v>2995</v>
      </c>
      <c r="B522" s="312" t="s">
        <v>43</v>
      </c>
      <c r="C522" s="216" t="s">
        <v>4445</v>
      </c>
      <c r="D522" s="294" t="s">
        <v>2996</v>
      </c>
      <c r="E522" s="294" t="s">
        <v>42</v>
      </c>
      <c r="F522" s="295">
        <v>8000493167</v>
      </c>
      <c r="G522" s="296">
        <v>45486</v>
      </c>
      <c r="H522" s="297">
        <v>40000</v>
      </c>
      <c r="I522" s="297">
        <v>40000</v>
      </c>
      <c r="J522" s="297">
        <v>-40000</v>
      </c>
      <c r="K522" s="295" t="s">
        <v>1731</v>
      </c>
      <c r="L522" s="294" t="s">
        <v>1828</v>
      </c>
      <c r="M522" s="294" t="s">
        <v>1829</v>
      </c>
      <c r="N522" s="294" t="s">
        <v>1830</v>
      </c>
      <c r="O522" s="295" t="s">
        <v>2020</v>
      </c>
      <c r="P522" s="298"/>
      <c r="Q522" s="364">
        <v>1</v>
      </c>
    </row>
    <row r="523" spans="1:17" hidden="1" x14ac:dyDescent="0.25">
      <c r="A523" s="287" t="s">
        <v>2995</v>
      </c>
      <c r="B523" s="311" t="s">
        <v>43</v>
      </c>
      <c r="C523" s="62"/>
      <c r="D523" s="288" t="s">
        <v>2996</v>
      </c>
      <c r="E523" s="288" t="s">
        <v>2999</v>
      </c>
      <c r="F523" s="289">
        <v>4000173302</v>
      </c>
      <c r="G523" s="290">
        <v>45688</v>
      </c>
      <c r="H523" s="291">
        <v>425427.24</v>
      </c>
      <c r="I523" s="291">
        <v>425427.24</v>
      </c>
      <c r="J523" s="291">
        <v>-425427.24</v>
      </c>
      <c r="K523" s="289" t="s">
        <v>1731</v>
      </c>
      <c r="L523" s="288" t="s">
        <v>1780</v>
      </c>
      <c r="M523" s="288" t="s">
        <v>1781</v>
      </c>
      <c r="N523" s="288" t="s">
        <v>1751</v>
      </c>
      <c r="O523" s="289" t="s">
        <v>1782</v>
      </c>
      <c r="P523" s="292"/>
    </row>
    <row r="524" spans="1:17" hidden="1" x14ac:dyDescent="0.25">
      <c r="A524" s="287" t="s">
        <v>2995</v>
      </c>
      <c r="B524" s="311" t="s">
        <v>43</v>
      </c>
      <c r="C524" s="62"/>
      <c r="D524" s="288" t="s">
        <v>2996</v>
      </c>
      <c r="E524" s="288" t="s">
        <v>3000</v>
      </c>
      <c r="F524" s="289">
        <v>8000547516</v>
      </c>
      <c r="G524" s="290">
        <v>45120</v>
      </c>
      <c r="H524" s="291">
        <v>1814147.51</v>
      </c>
      <c r="I524" s="291">
        <v>1814147.51</v>
      </c>
      <c r="J524" s="291">
        <v>-1511789.6</v>
      </c>
      <c r="K524" s="289" t="s">
        <v>1731</v>
      </c>
      <c r="L524" s="288" t="s">
        <v>1773</v>
      </c>
      <c r="M524" s="288" t="s">
        <v>1774</v>
      </c>
      <c r="N524" s="288" t="s">
        <v>1734</v>
      </c>
      <c r="O524" s="289" t="s">
        <v>1955</v>
      </c>
      <c r="P524" s="292"/>
    </row>
    <row r="525" spans="1:17" hidden="1" x14ac:dyDescent="0.25">
      <c r="A525" s="287" t="s">
        <v>2995</v>
      </c>
      <c r="B525" s="311" t="s">
        <v>43</v>
      </c>
      <c r="C525" s="62"/>
      <c r="D525" s="288" t="s">
        <v>2996</v>
      </c>
      <c r="E525" s="288" t="s">
        <v>3001</v>
      </c>
      <c r="F525" s="289">
        <v>8000538907</v>
      </c>
      <c r="G525" s="290">
        <v>45057</v>
      </c>
      <c r="H525" s="291">
        <v>16384969.27</v>
      </c>
      <c r="I525" s="291">
        <v>16384969.27</v>
      </c>
      <c r="J525" s="291">
        <v>-37024308.729999997</v>
      </c>
      <c r="K525" s="289" t="s">
        <v>1731</v>
      </c>
      <c r="L525" s="288" t="s">
        <v>1773</v>
      </c>
      <c r="M525" s="288" t="s">
        <v>1774</v>
      </c>
      <c r="N525" s="288" t="s">
        <v>1734</v>
      </c>
      <c r="O525" s="289" t="s">
        <v>1955</v>
      </c>
      <c r="P525" s="292"/>
    </row>
    <row r="526" spans="1:17" hidden="1" x14ac:dyDescent="0.25">
      <c r="A526" s="287" t="s">
        <v>2995</v>
      </c>
      <c r="B526" s="311" t="s">
        <v>43</v>
      </c>
      <c r="C526" s="62"/>
      <c r="D526" s="288" t="s">
        <v>2996</v>
      </c>
      <c r="E526" s="288" t="s">
        <v>3001</v>
      </c>
      <c r="F526" s="289">
        <v>8000538907</v>
      </c>
      <c r="G526" s="290">
        <v>45657</v>
      </c>
      <c r="H526" s="291">
        <v>23548788.93</v>
      </c>
      <c r="I526" s="291">
        <v>23548788.93</v>
      </c>
      <c r="J526" s="291">
        <v>-37024308.729999997</v>
      </c>
      <c r="K526" s="289" t="s">
        <v>1731</v>
      </c>
      <c r="L526" s="288" t="s">
        <v>1828</v>
      </c>
      <c r="M526" s="288" t="s">
        <v>1829</v>
      </c>
      <c r="N526" s="288" t="s">
        <v>1830</v>
      </c>
      <c r="O526" s="289" t="s">
        <v>1955</v>
      </c>
      <c r="P526" s="292"/>
    </row>
    <row r="527" spans="1:17" hidden="1" x14ac:dyDescent="0.25">
      <c r="A527" s="287" t="s">
        <v>3002</v>
      </c>
      <c r="B527" s="311" t="s">
        <v>3003</v>
      </c>
      <c r="C527" s="62"/>
      <c r="D527" s="288" t="s">
        <v>3004</v>
      </c>
      <c r="E527" s="288"/>
      <c r="F527" s="289"/>
      <c r="G527" s="290">
        <v>45631</v>
      </c>
      <c r="H527" s="291">
        <v>223769.8</v>
      </c>
      <c r="I527" s="291">
        <v>223769.8</v>
      </c>
      <c r="J527" s="291">
        <v>-223769.8</v>
      </c>
      <c r="K527" s="289" t="s">
        <v>1731</v>
      </c>
      <c r="L527" s="288" t="s">
        <v>1732</v>
      </c>
      <c r="M527" s="288" t="s">
        <v>1733</v>
      </c>
      <c r="N527" s="288" t="s">
        <v>1734</v>
      </c>
      <c r="O527" s="289" t="s">
        <v>1791</v>
      </c>
      <c r="P527" s="292"/>
    </row>
    <row r="528" spans="1:17" hidden="1" x14ac:dyDescent="0.25">
      <c r="A528" s="287" t="s">
        <v>3005</v>
      </c>
      <c r="B528" s="311" t="s">
        <v>3006</v>
      </c>
      <c r="C528" s="62"/>
      <c r="D528" s="288" t="s">
        <v>3007</v>
      </c>
      <c r="E528" s="288" t="s">
        <v>3008</v>
      </c>
      <c r="F528" s="289">
        <v>8000689486</v>
      </c>
      <c r="G528" s="290">
        <v>46009</v>
      </c>
      <c r="H528" s="291">
        <v>90000</v>
      </c>
      <c r="I528" s="291">
        <v>0</v>
      </c>
      <c r="J528" s="291">
        <v>0</v>
      </c>
      <c r="K528" s="289" t="s">
        <v>1731</v>
      </c>
      <c r="L528" s="288" t="s">
        <v>1773</v>
      </c>
      <c r="M528" s="288" t="s">
        <v>1774</v>
      </c>
      <c r="N528" s="288" t="s">
        <v>1734</v>
      </c>
      <c r="O528" s="289" t="s">
        <v>3009</v>
      </c>
      <c r="P528" s="292"/>
    </row>
    <row r="529" spans="1:17" hidden="1" x14ac:dyDescent="0.25">
      <c r="A529" s="287" t="s">
        <v>3010</v>
      </c>
      <c r="B529" s="311" t="s">
        <v>3011</v>
      </c>
      <c r="C529" s="62"/>
      <c r="D529" s="288" t="s">
        <v>3012</v>
      </c>
      <c r="E529" s="288" t="s">
        <v>3013</v>
      </c>
      <c r="F529" s="289">
        <v>4000228818</v>
      </c>
      <c r="G529" s="290">
        <v>45565</v>
      </c>
      <c r="H529" s="291">
        <v>11592</v>
      </c>
      <c r="I529" s="291">
        <v>11592</v>
      </c>
      <c r="J529" s="291">
        <v>0</v>
      </c>
      <c r="K529" s="289" t="s">
        <v>1731</v>
      </c>
      <c r="L529" s="288" t="s">
        <v>1754</v>
      </c>
      <c r="M529" s="288" t="s">
        <v>1755</v>
      </c>
      <c r="N529" s="288" t="s">
        <v>1751</v>
      </c>
      <c r="O529" s="289" t="s">
        <v>2129</v>
      </c>
      <c r="P529" s="292"/>
    </row>
    <row r="530" spans="1:17" hidden="1" x14ac:dyDescent="0.25">
      <c r="A530" s="287" t="s">
        <v>3010</v>
      </c>
      <c r="B530" s="311" t="s">
        <v>3011</v>
      </c>
      <c r="C530" s="62"/>
      <c r="D530" s="288" t="s">
        <v>3012</v>
      </c>
      <c r="E530" s="288" t="s">
        <v>3014</v>
      </c>
      <c r="F530" s="289">
        <v>8000462822</v>
      </c>
      <c r="G530" s="290">
        <v>46017</v>
      </c>
      <c r="H530" s="291">
        <v>2530187.12</v>
      </c>
      <c r="I530" s="291">
        <v>2530187.12</v>
      </c>
      <c r="J530" s="291">
        <v>-2160497.9900000002</v>
      </c>
      <c r="K530" s="289" t="s">
        <v>1731</v>
      </c>
      <c r="L530" s="288" t="s">
        <v>1828</v>
      </c>
      <c r="M530" s="288" t="s">
        <v>1829</v>
      </c>
      <c r="N530" s="288" t="s">
        <v>1830</v>
      </c>
      <c r="O530" s="289" t="s">
        <v>1955</v>
      </c>
      <c r="P530" s="292"/>
    </row>
    <row r="531" spans="1:17" hidden="1" x14ac:dyDescent="0.25">
      <c r="A531" s="287" t="s">
        <v>3010</v>
      </c>
      <c r="B531" s="311" t="s">
        <v>3011</v>
      </c>
      <c r="C531" s="62"/>
      <c r="D531" s="288" t="s">
        <v>3012</v>
      </c>
      <c r="E531" s="288" t="s">
        <v>3015</v>
      </c>
      <c r="F531" s="289">
        <v>8000658215</v>
      </c>
      <c r="G531" s="290">
        <v>45547</v>
      </c>
      <c r="H531" s="291">
        <v>972083.39</v>
      </c>
      <c r="I531" s="291">
        <v>972083.39</v>
      </c>
      <c r="J531" s="291">
        <v>0</v>
      </c>
      <c r="K531" s="289" t="s">
        <v>1731</v>
      </c>
      <c r="L531" s="288" t="s">
        <v>1773</v>
      </c>
      <c r="M531" s="288" t="s">
        <v>1774</v>
      </c>
      <c r="N531" s="288" t="s">
        <v>1734</v>
      </c>
      <c r="O531" s="289" t="s">
        <v>2836</v>
      </c>
      <c r="P531" s="292"/>
    </row>
    <row r="532" spans="1:17" s="364" customFormat="1" ht="120" x14ac:dyDescent="0.25">
      <c r="A532" s="293" t="s">
        <v>3016</v>
      </c>
      <c r="B532" s="312" t="s">
        <v>69</v>
      </c>
      <c r="C532" s="216" t="s">
        <v>4447</v>
      </c>
      <c r="D532" s="294" t="s">
        <v>3017</v>
      </c>
      <c r="E532" s="294" t="s">
        <v>106</v>
      </c>
      <c r="F532" s="295">
        <v>8000603605</v>
      </c>
      <c r="G532" s="296">
        <v>45330</v>
      </c>
      <c r="H532" s="297">
        <v>10554473.52</v>
      </c>
      <c r="I532" s="297">
        <v>10554473.52</v>
      </c>
      <c r="J532" s="297">
        <v>-4390441.2300000004</v>
      </c>
      <c r="K532" s="295" t="s">
        <v>1731</v>
      </c>
      <c r="L532" s="294" t="s">
        <v>1773</v>
      </c>
      <c r="M532" s="294" t="s">
        <v>1774</v>
      </c>
      <c r="N532" s="294" t="s">
        <v>1734</v>
      </c>
      <c r="O532" s="295" t="s">
        <v>2268</v>
      </c>
      <c r="P532" s="298"/>
      <c r="Q532" s="364">
        <v>1</v>
      </c>
    </row>
    <row r="533" spans="1:17" s="364" customFormat="1" ht="30" x14ac:dyDescent="0.25">
      <c r="A533" s="293" t="s">
        <v>3016</v>
      </c>
      <c r="B533" s="312" t="s">
        <v>69</v>
      </c>
      <c r="C533" s="216" t="s">
        <v>805</v>
      </c>
      <c r="D533" s="294" t="s">
        <v>3017</v>
      </c>
      <c r="E533" s="294" t="s">
        <v>107</v>
      </c>
      <c r="F533" s="295">
        <v>8000606494</v>
      </c>
      <c r="G533" s="296">
        <v>45375</v>
      </c>
      <c r="H533" s="297">
        <v>60000</v>
      </c>
      <c r="I533" s="297">
        <v>60000</v>
      </c>
      <c r="J533" s="297">
        <v>-60000</v>
      </c>
      <c r="K533" s="295" t="s">
        <v>1731</v>
      </c>
      <c r="L533" s="294" t="s">
        <v>1828</v>
      </c>
      <c r="M533" s="294" t="s">
        <v>1829</v>
      </c>
      <c r="N533" s="294" t="s">
        <v>1830</v>
      </c>
      <c r="O533" s="295" t="s">
        <v>3018</v>
      </c>
      <c r="P533" s="298"/>
      <c r="Q533" s="364">
        <v>1</v>
      </c>
    </row>
    <row r="534" spans="1:17" hidden="1" x14ac:dyDescent="0.25">
      <c r="A534" s="287" t="s">
        <v>3019</v>
      </c>
      <c r="B534" s="311" t="s">
        <v>3020</v>
      </c>
      <c r="C534" s="62"/>
      <c r="D534" s="288" t="s">
        <v>3021</v>
      </c>
      <c r="E534" s="288" t="s">
        <v>1741</v>
      </c>
      <c r="F534" s="289"/>
      <c r="G534" s="290">
        <v>45567</v>
      </c>
      <c r="H534" s="291">
        <v>46450</v>
      </c>
      <c r="I534" s="291">
        <v>46450</v>
      </c>
      <c r="J534" s="291">
        <v>-46450</v>
      </c>
      <c r="K534" s="289" t="s">
        <v>1731</v>
      </c>
      <c r="L534" s="288" t="s">
        <v>1732</v>
      </c>
      <c r="M534" s="288" t="s">
        <v>1733</v>
      </c>
      <c r="N534" s="288" t="s">
        <v>1734</v>
      </c>
      <c r="O534" s="289" t="s">
        <v>1791</v>
      </c>
      <c r="P534" s="292"/>
    </row>
    <row r="535" spans="1:17" hidden="1" x14ac:dyDescent="0.25">
      <c r="A535" s="287" t="s">
        <v>3022</v>
      </c>
      <c r="B535" s="311" t="s">
        <v>3023</v>
      </c>
      <c r="C535" s="62"/>
      <c r="D535" s="288" t="s">
        <v>3024</v>
      </c>
      <c r="E535" s="288" t="s">
        <v>1741</v>
      </c>
      <c r="F535" s="289">
        <v>8701746785</v>
      </c>
      <c r="G535" s="290">
        <v>46051</v>
      </c>
      <c r="H535" s="291">
        <v>86580</v>
      </c>
      <c r="I535" s="291">
        <v>86580</v>
      </c>
      <c r="J535" s="291">
        <v>0</v>
      </c>
      <c r="K535" s="289" t="s">
        <v>1731</v>
      </c>
      <c r="L535" s="288" t="s">
        <v>1773</v>
      </c>
      <c r="M535" s="288" t="s">
        <v>1774</v>
      </c>
      <c r="N535" s="288" t="s">
        <v>1734</v>
      </c>
      <c r="O535" s="289" t="s">
        <v>1874</v>
      </c>
      <c r="P535" s="292"/>
    </row>
    <row r="536" spans="1:17" hidden="1" x14ac:dyDescent="0.25">
      <c r="A536" s="287" t="s">
        <v>3022</v>
      </c>
      <c r="B536" s="311" t="s">
        <v>3023</v>
      </c>
      <c r="C536" s="62"/>
      <c r="D536" s="288" t="s">
        <v>3024</v>
      </c>
      <c r="E536" s="288" t="s">
        <v>1741</v>
      </c>
      <c r="F536" s="289">
        <v>8701757860</v>
      </c>
      <c r="G536" s="290">
        <v>46072</v>
      </c>
      <c r="H536" s="291">
        <v>88900</v>
      </c>
      <c r="I536" s="291">
        <v>88900</v>
      </c>
      <c r="J536" s="291">
        <v>0</v>
      </c>
      <c r="K536" s="289" t="s">
        <v>1731</v>
      </c>
      <c r="L536" s="288" t="s">
        <v>1773</v>
      </c>
      <c r="M536" s="288" t="s">
        <v>1774</v>
      </c>
      <c r="N536" s="288" t="s">
        <v>1734</v>
      </c>
      <c r="O536" s="289" t="s">
        <v>1874</v>
      </c>
      <c r="P536" s="292"/>
    </row>
    <row r="537" spans="1:17" hidden="1" x14ac:dyDescent="0.25">
      <c r="A537" s="287" t="s">
        <v>3022</v>
      </c>
      <c r="B537" s="311" t="s">
        <v>3023</v>
      </c>
      <c r="C537" s="62"/>
      <c r="D537" s="288" t="s">
        <v>3024</v>
      </c>
      <c r="E537" s="288" t="s">
        <v>1741</v>
      </c>
      <c r="F537" s="289">
        <v>8701714955</v>
      </c>
      <c r="G537" s="290">
        <v>46016</v>
      </c>
      <c r="H537" s="291">
        <v>93400</v>
      </c>
      <c r="I537" s="291">
        <v>93400</v>
      </c>
      <c r="J537" s="291">
        <v>0</v>
      </c>
      <c r="K537" s="289" t="s">
        <v>1731</v>
      </c>
      <c r="L537" s="288" t="s">
        <v>1773</v>
      </c>
      <c r="M537" s="288" t="s">
        <v>1774</v>
      </c>
      <c r="N537" s="288" t="s">
        <v>1734</v>
      </c>
      <c r="O537" s="289" t="s">
        <v>1874</v>
      </c>
      <c r="P537" s="292"/>
    </row>
    <row r="538" spans="1:17" hidden="1" x14ac:dyDescent="0.25">
      <c r="A538" s="287" t="s">
        <v>3025</v>
      </c>
      <c r="B538" s="311" t="s">
        <v>3026</v>
      </c>
      <c r="C538" s="62"/>
      <c r="D538" s="288" t="s">
        <v>3027</v>
      </c>
      <c r="E538" s="288" t="s">
        <v>136</v>
      </c>
      <c r="F538" s="289">
        <v>8000639765</v>
      </c>
      <c r="G538" s="290">
        <v>45582</v>
      </c>
      <c r="H538" s="291">
        <v>300000</v>
      </c>
      <c r="I538" s="291">
        <v>300000</v>
      </c>
      <c r="J538" s="291">
        <v>0</v>
      </c>
      <c r="K538" s="289" t="s">
        <v>1731</v>
      </c>
      <c r="L538" s="288" t="s">
        <v>1828</v>
      </c>
      <c r="M538" s="288" t="s">
        <v>1829</v>
      </c>
      <c r="N538" s="288" t="s">
        <v>1830</v>
      </c>
      <c r="O538" s="289" t="s">
        <v>2268</v>
      </c>
      <c r="P538" s="292"/>
    </row>
    <row r="539" spans="1:17" hidden="1" x14ac:dyDescent="0.25">
      <c r="A539" s="287" t="s">
        <v>3028</v>
      </c>
      <c r="B539" s="311" t="s">
        <v>3029</v>
      </c>
      <c r="C539" s="62"/>
      <c r="D539" s="288" t="s">
        <v>3030</v>
      </c>
      <c r="E539" s="288" t="s">
        <v>3031</v>
      </c>
      <c r="F539" s="289"/>
      <c r="G539" s="290">
        <v>45744</v>
      </c>
      <c r="H539" s="291">
        <v>9107</v>
      </c>
      <c r="I539" s="291">
        <v>9107</v>
      </c>
      <c r="J539" s="291">
        <v>0</v>
      </c>
      <c r="K539" s="289" t="s">
        <v>1731</v>
      </c>
      <c r="L539" s="288" t="s">
        <v>1732</v>
      </c>
      <c r="M539" s="288" t="s">
        <v>1733</v>
      </c>
      <c r="N539" s="288" t="s">
        <v>1734</v>
      </c>
      <c r="O539" s="289" t="s">
        <v>1791</v>
      </c>
      <c r="P539" s="292"/>
    </row>
    <row r="540" spans="1:17" hidden="1" x14ac:dyDescent="0.25">
      <c r="A540" s="287" t="s">
        <v>3032</v>
      </c>
      <c r="B540" s="311" t="s">
        <v>2292</v>
      </c>
      <c r="C540" s="62"/>
      <c r="D540" s="288" t="s">
        <v>2293</v>
      </c>
      <c r="E540" s="288" t="s">
        <v>1741</v>
      </c>
      <c r="F540" s="289"/>
      <c r="G540" s="290">
        <v>45544</v>
      </c>
      <c r="H540" s="291">
        <v>130859</v>
      </c>
      <c r="I540" s="291">
        <v>130859</v>
      </c>
      <c r="J540" s="291">
        <v>-130859</v>
      </c>
      <c r="K540" s="289" t="s">
        <v>1731</v>
      </c>
      <c r="L540" s="288" t="s">
        <v>1732</v>
      </c>
      <c r="M540" s="288" t="s">
        <v>1733</v>
      </c>
      <c r="N540" s="288" t="s">
        <v>1734</v>
      </c>
      <c r="O540" s="289" t="s">
        <v>1791</v>
      </c>
      <c r="P540" s="292"/>
    </row>
    <row r="541" spans="1:17" hidden="1" x14ac:dyDescent="0.25">
      <c r="A541" s="287" t="s">
        <v>3033</v>
      </c>
      <c r="B541" s="311" t="s">
        <v>3034</v>
      </c>
      <c r="C541" s="62"/>
      <c r="D541" s="288" t="s">
        <v>3035</v>
      </c>
      <c r="E541" s="288" t="s">
        <v>3036</v>
      </c>
      <c r="F541" s="289">
        <v>4000228799</v>
      </c>
      <c r="G541" s="290">
        <v>45382</v>
      </c>
      <c r="H541" s="291">
        <v>813927.84</v>
      </c>
      <c r="I541" s="291">
        <v>813927.84</v>
      </c>
      <c r="J541" s="291">
        <v>0</v>
      </c>
      <c r="K541" s="289" t="s">
        <v>1731</v>
      </c>
      <c r="L541" s="288" t="s">
        <v>1754</v>
      </c>
      <c r="M541" s="288" t="s">
        <v>1755</v>
      </c>
      <c r="N541" s="288" t="s">
        <v>1751</v>
      </c>
      <c r="O541" s="289" t="s">
        <v>3037</v>
      </c>
      <c r="P541" s="292"/>
    </row>
    <row r="542" spans="1:17" hidden="1" x14ac:dyDescent="0.25">
      <c r="A542" s="287" t="s">
        <v>3038</v>
      </c>
      <c r="B542" s="311" t="s">
        <v>3039</v>
      </c>
      <c r="C542" s="62"/>
      <c r="D542" s="288" t="s">
        <v>3040</v>
      </c>
      <c r="E542" s="288"/>
      <c r="F542" s="289">
        <v>8701560431</v>
      </c>
      <c r="G542" s="290">
        <v>45827</v>
      </c>
      <c r="H542" s="291">
        <v>49000</v>
      </c>
      <c r="I542" s="291">
        <v>49000</v>
      </c>
      <c r="J542" s="291">
        <v>-49000</v>
      </c>
      <c r="K542" s="289" t="s">
        <v>1731</v>
      </c>
      <c r="L542" s="288" t="s">
        <v>1773</v>
      </c>
      <c r="M542" s="288" t="s">
        <v>1774</v>
      </c>
      <c r="N542" s="288" t="s">
        <v>1734</v>
      </c>
      <c r="O542" s="289" t="s">
        <v>1735</v>
      </c>
      <c r="P542" s="292"/>
    </row>
    <row r="543" spans="1:17" hidden="1" x14ac:dyDescent="0.25">
      <c r="A543" s="287" t="s">
        <v>3038</v>
      </c>
      <c r="B543" s="311" t="s">
        <v>3039</v>
      </c>
      <c r="C543" s="62"/>
      <c r="D543" s="288" t="s">
        <v>3040</v>
      </c>
      <c r="E543" s="288"/>
      <c r="F543" s="289"/>
      <c r="G543" s="290">
        <v>45706</v>
      </c>
      <c r="H543" s="291">
        <v>80000</v>
      </c>
      <c r="I543" s="291">
        <v>80000</v>
      </c>
      <c r="J543" s="291">
        <v>-80000</v>
      </c>
      <c r="K543" s="289" t="s">
        <v>1731</v>
      </c>
      <c r="L543" s="288" t="s">
        <v>1773</v>
      </c>
      <c r="M543" s="288" t="s">
        <v>1774</v>
      </c>
      <c r="N543" s="288" t="s">
        <v>1734</v>
      </c>
      <c r="O543" s="289" t="s">
        <v>1791</v>
      </c>
      <c r="P543" s="292"/>
    </row>
    <row r="544" spans="1:17" hidden="1" x14ac:dyDescent="0.25">
      <c r="A544" s="287" t="s">
        <v>3038</v>
      </c>
      <c r="B544" s="311" t="s">
        <v>3039</v>
      </c>
      <c r="C544" s="62"/>
      <c r="D544" s="288" t="s">
        <v>3040</v>
      </c>
      <c r="E544" s="288" t="s">
        <v>1741</v>
      </c>
      <c r="F544" s="289">
        <v>8701159267</v>
      </c>
      <c r="G544" s="290">
        <v>45680</v>
      </c>
      <c r="H544" s="291">
        <v>80000</v>
      </c>
      <c r="I544" s="291">
        <v>80000</v>
      </c>
      <c r="J544" s="291">
        <v>-80000</v>
      </c>
      <c r="K544" s="289" t="s">
        <v>1731</v>
      </c>
      <c r="L544" s="288" t="s">
        <v>1773</v>
      </c>
      <c r="M544" s="288" t="s">
        <v>1774</v>
      </c>
      <c r="N544" s="288" t="s">
        <v>1734</v>
      </c>
      <c r="O544" s="289" t="s">
        <v>3041</v>
      </c>
      <c r="P544" s="292"/>
    </row>
    <row r="545" spans="1:17" hidden="1" x14ac:dyDescent="0.25">
      <c r="A545" s="287" t="s">
        <v>3042</v>
      </c>
      <c r="B545" s="311" t="s">
        <v>3043</v>
      </c>
      <c r="C545" s="62"/>
      <c r="D545" s="288" t="s">
        <v>3044</v>
      </c>
      <c r="E545" s="288" t="s">
        <v>3045</v>
      </c>
      <c r="F545" s="289">
        <v>8000501633</v>
      </c>
      <c r="G545" s="290">
        <v>45057</v>
      </c>
      <c r="H545" s="291">
        <v>1760307.27</v>
      </c>
      <c r="I545" s="291">
        <v>1760307.27</v>
      </c>
      <c r="J545" s="291">
        <v>-1460064.79</v>
      </c>
      <c r="K545" s="289" t="s">
        <v>1731</v>
      </c>
      <c r="L545" s="288" t="s">
        <v>1773</v>
      </c>
      <c r="M545" s="288" t="s">
        <v>1774</v>
      </c>
      <c r="N545" s="288" t="s">
        <v>1734</v>
      </c>
      <c r="O545" s="289" t="s">
        <v>1768</v>
      </c>
      <c r="P545" s="292"/>
    </row>
    <row r="546" spans="1:17" hidden="1" x14ac:dyDescent="0.25">
      <c r="A546" s="287" t="s">
        <v>3042</v>
      </c>
      <c r="B546" s="311" t="s">
        <v>3043</v>
      </c>
      <c r="C546" s="62"/>
      <c r="D546" s="288" t="s">
        <v>3044</v>
      </c>
      <c r="E546" s="288" t="s">
        <v>3045</v>
      </c>
      <c r="F546" s="289">
        <v>4000195224</v>
      </c>
      <c r="G546" s="290">
        <v>45763</v>
      </c>
      <c r="H546" s="291">
        <v>7971.44</v>
      </c>
      <c r="I546" s="291">
        <v>7971.44</v>
      </c>
      <c r="J546" s="291">
        <v>-7971.44</v>
      </c>
      <c r="K546" s="289" t="s">
        <v>1731</v>
      </c>
      <c r="L546" s="288" t="s">
        <v>1754</v>
      </c>
      <c r="M546" s="288" t="s">
        <v>1755</v>
      </c>
      <c r="N546" s="288" t="s">
        <v>1751</v>
      </c>
      <c r="O546" s="289" t="s">
        <v>2976</v>
      </c>
      <c r="P546" s="292"/>
    </row>
    <row r="547" spans="1:17" hidden="1" x14ac:dyDescent="0.25">
      <c r="A547" s="287" t="s">
        <v>3046</v>
      </c>
      <c r="B547" s="311" t="s">
        <v>3047</v>
      </c>
      <c r="C547" s="62"/>
      <c r="D547" s="288" t="s">
        <v>3048</v>
      </c>
      <c r="E547" s="288" t="s">
        <v>1741</v>
      </c>
      <c r="F547" s="289"/>
      <c r="G547" s="290">
        <v>45517</v>
      </c>
      <c r="H547" s="291">
        <v>77560</v>
      </c>
      <c r="I547" s="291">
        <v>77560</v>
      </c>
      <c r="J547" s="291">
        <v>-77560</v>
      </c>
      <c r="K547" s="289" t="s">
        <v>1731</v>
      </c>
      <c r="L547" s="288" t="s">
        <v>1732</v>
      </c>
      <c r="M547" s="288" t="s">
        <v>1733</v>
      </c>
      <c r="N547" s="288" t="s">
        <v>1734</v>
      </c>
      <c r="O547" s="289" t="s">
        <v>1791</v>
      </c>
      <c r="P547" s="292"/>
    </row>
    <row r="548" spans="1:17" hidden="1" x14ac:dyDescent="0.25">
      <c r="A548" s="287" t="s">
        <v>3049</v>
      </c>
      <c r="B548" s="311" t="s">
        <v>3050</v>
      </c>
      <c r="C548" s="62"/>
      <c r="D548" s="288" t="s">
        <v>3051</v>
      </c>
      <c r="E548" s="288" t="s">
        <v>1741</v>
      </c>
      <c r="F548" s="289">
        <v>8701004622</v>
      </c>
      <c r="G548" s="290">
        <v>45204</v>
      </c>
      <c r="H548" s="291">
        <v>58000</v>
      </c>
      <c r="I548" s="291">
        <v>58000</v>
      </c>
      <c r="J548" s="291">
        <v>-58000</v>
      </c>
      <c r="K548" s="289" t="s">
        <v>1731</v>
      </c>
      <c r="L548" s="288" t="s">
        <v>1773</v>
      </c>
      <c r="M548" s="288" t="s">
        <v>1774</v>
      </c>
      <c r="N548" s="288" t="s">
        <v>1734</v>
      </c>
      <c r="O548" s="289" t="s">
        <v>3052</v>
      </c>
      <c r="P548" s="292"/>
    </row>
    <row r="549" spans="1:17" hidden="1" x14ac:dyDescent="0.25">
      <c r="A549" s="287" t="s">
        <v>3053</v>
      </c>
      <c r="B549" s="311" t="s">
        <v>3054</v>
      </c>
      <c r="C549" s="62"/>
      <c r="D549" s="288" t="s">
        <v>3055</v>
      </c>
      <c r="E549" s="288"/>
      <c r="F549" s="289">
        <v>8701785886</v>
      </c>
      <c r="G549" s="290">
        <v>46083</v>
      </c>
      <c r="H549" s="291">
        <v>16750</v>
      </c>
      <c r="I549" s="291">
        <v>0</v>
      </c>
      <c r="J549" s="291">
        <v>0</v>
      </c>
      <c r="K549" s="289" t="s">
        <v>1731</v>
      </c>
      <c r="L549" s="288" t="s">
        <v>1732</v>
      </c>
      <c r="M549" s="288" t="s">
        <v>1733</v>
      </c>
      <c r="N549" s="288" t="s">
        <v>1734</v>
      </c>
      <c r="O549" s="289" t="s">
        <v>3056</v>
      </c>
      <c r="P549" s="292"/>
    </row>
    <row r="550" spans="1:17" hidden="1" x14ac:dyDescent="0.25">
      <c r="A550" s="287" t="s">
        <v>3057</v>
      </c>
      <c r="B550" s="311" t="s">
        <v>3058</v>
      </c>
      <c r="C550" s="62"/>
      <c r="D550" s="288" t="s">
        <v>3059</v>
      </c>
      <c r="E550" s="288"/>
      <c r="F550" s="289"/>
      <c r="G550" s="290">
        <v>45680</v>
      </c>
      <c r="H550" s="291">
        <v>86396.7</v>
      </c>
      <c r="I550" s="291">
        <v>86396.7</v>
      </c>
      <c r="J550" s="291">
        <v>0</v>
      </c>
      <c r="K550" s="289" t="s">
        <v>1731</v>
      </c>
      <c r="L550" s="288" t="s">
        <v>1732</v>
      </c>
      <c r="M550" s="288" t="s">
        <v>1733</v>
      </c>
      <c r="N550" s="288" t="s">
        <v>1734</v>
      </c>
      <c r="O550" s="289" t="s">
        <v>1791</v>
      </c>
      <c r="P550" s="292"/>
    </row>
    <row r="551" spans="1:17" hidden="1" x14ac:dyDescent="0.25">
      <c r="A551" s="287" t="s">
        <v>3057</v>
      </c>
      <c r="B551" s="311" t="s">
        <v>3058</v>
      </c>
      <c r="C551" s="62"/>
      <c r="D551" s="288" t="s">
        <v>3059</v>
      </c>
      <c r="E551" s="288" t="s">
        <v>3060</v>
      </c>
      <c r="F551" s="289">
        <v>8000725767</v>
      </c>
      <c r="G551" s="290">
        <v>45736</v>
      </c>
      <c r="H551" s="291">
        <v>90001.73</v>
      </c>
      <c r="I551" s="291">
        <v>90001.73</v>
      </c>
      <c r="J551" s="291">
        <v>-90001.73</v>
      </c>
      <c r="K551" s="289" t="s">
        <v>1731</v>
      </c>
      <c r="L551" s="288" t="s">
        <v>1773</v>
      </c>
      <c r="M551" s="288" t="s">
        <v>1774</v>
      </c>
      <c r="N551" s="288" t="s">
        <v>1734</v>
      </c>
      <c r="O551" s="289" t="s">
        <v>2129</v>
      </c>
      <c r="P551" s="292"/>
    </row>
    <row r="552" spans="1:17" hidden="1" x14ac:dyDescent="0.25">
      <c r="A552" s="287" t="s">
        <v>3061</v>
      </c>
      <c r="B552" s="311" t="s">
        <v>3062</v>
      </c>
      <c r="C552" s="62"/>
      <c r="D552" s="288" t="s">
        <v>3063</v>
      </c>
      <c r="E552" s="288" t="s">
        <v>3064</v>
      </c>
      <c r="F552" s="289">
        <v>8000576768</v>
      </c>
      <c r="G552" s="290">
        <v>45184</v>
      </c>
      <c r="H552" s="291">
        <v>179200</v>
      </c>
      <c r="I552" s="291">
        <v>179200</v>
      </c>
      <c r="J552" s="291">
        <v>-179200</v>
      </c>
      <c r="K552" s="289" t="s">
        <v>1731</v>
      </c>
      <c r="L552" s="288" t="s">
        <v>1773</v>
      </c>
      <c r="M552" s="288" t="s">
        <v>1774</v>
      </c>
      <c r="N552" s="288" t="s">
        <v>1734</v>
      </c>
      <c r="O552" s="289" t="s">
        <v>1782</v>
      </c>
      <c r="P552" s="292"/>
    </row>
    <row r="553" spans="1:17" hidden="1" x14ac:dyDescent="0.25">
      <c r="A553" s="287" t="s">
        <v>3065</v>
      </c>
      <c r="B553" s="311" t="s">
        <v>3066</v>
      </c>
      <c r="C553" s="62"/>
      <c r="D553" s="288" t="s">
        <v>3067</v>
      </c>
      <c r="E553" s="288" t="s">
        <v>3068</v>
      </c>
      <c r="F553" s="289">
        <v>8000725545</v>
      </c>
      <c r="G553" s="290">
        <v>45684</v>
      </c>
      <c r="H553" s="291">
        <v>199999.23</v>
      </c>
      <c r="I553" s="291">
        <v>199999.23</v>
      </c>
      <c r="J553" s="291">
        <v>-199999.23</v>
      </c>
      <c r="K553" s="289" t="s">
        <v>1731</v>
      </c>
      <c r="L553" s="288" t="s">
        <v>1732</v>
      </c>
      <c r="M553" s="288" t="s">
        <v>1733</v>
      </c>
      <c r="N553" s="288" t="s">
        <v>1734</v>
      </c>
      <c r="O553" s="289" t="s">
        <v>2865</v>
      </c>
      <c r="P553" s="292"/>
    </row>
    <row r="554" spans="1:17" hidden="1" x14ac:dyDescent="0.25">
      <c r="A554" s="287" t="s">
        <v>3069</v>
      </c>
      <c r="B554" s="311" t="s">
        <v>3070</v>
      </c>
      <c r="C554" s="62"/>
      <c r="D554" s="288" t="s">
        <v>3071</v>
      </c>
      <c r="E554" s="288" t="s">
        <v>3072</v>
      </c>
      <c r="F554" s="289">
        <v>4000201090</v>
      </c>
      <c r="G554" s="290">
        <v>46043</v>
      </c>
      <c r="H554" s="291">
        <v>4621.3</v>
      </c>
      <c r="I554" s="291">
        <v>4588.3900000000003</v>
      </c>
      <c r="J554" s="291">
        <v>0</v>
      </c>
      <c r="K554" s="289" t="s">
        <v>1731</v>
      </c>
      <c r="L554" s="288" t="s">
        <v>1754</v>
      </c>
      <c r="M554" s="288" t="s">
        <v>1755</v>
      </c>
      <c r="N554" s="288" t="s">
        <v>1751</v>
      </c>
      <c r="O554" s="289" t="s">
        <v>1787</v>
      </c>
      <c r="P554" s="292"/>
    </row>
    <row r="555" spans="1:17" s="364" customFormat="1" ht="90" x14ac:dyDescent="0.25">
      <c r="A555" s="293" t="s">
        <v>3069</v>
      </c>
      <c r="B555" s="312" t="s">
        <v>3070</v>
      </c>
      <c r="C555" s="216" t="s">
        <v>1686</v>
      </c>
      <c r="D555" s="294" t="s">
        <v>3071</v>
      </c>
      <c r="E555" s="294" t="s">
        <v>3073</v>
      </c>
      <c r="F555" s="295">
        <v>8000749189</v>
      </c>
      <c r="G555" s="296">
        <v>45876</v>
      </c>
      <c r="H555" s="297">
        <v>18541568.449999999</v>
      </c>
      <c r="I555" s="297">
        <v>18541568.449999999</v>
      </c>
      <c r="J555" s="297">
        <v>0</v>
      </c>
      <c r="K555" s="295" t="s">
        <v>1731</v>
      </c>
      <c r="L555" s="294" t="s">
        <v>1773</v>
      </c>
      <c r="M555" s="294" t="s">
        <v>1774</v>
      </c>
      <c r="N555" s="294" t="s">
        <v>1734</v>
      </c>
      <c r="O555" s="295" t="s">
        <v>2261</v>
      </c>
      <c r="P555" s="298"/>
      <c r="Q555" s="364">
        <v>1</v>
      </c>
    </row>
    <row r="556" spans="1:17" s="364" customFormat="1" ht="30" x14ac:dyDescent="0.25">
      <c r="A556" s="293" t="s">
        <v>3074</v>
      </c>
      <c r="B556" s="312" t="s">
        <v>749</v>
      </c>
      <c r="C556" s="216" t="s">
        <v>1574</v>
      </c>
      <c r="D556" s="294" t="s">
        <v>3075</v>
      </c>
      <c r="E556" s="294" t="s">
        <v>977</v>
      </c>
      <c r="F556" s="295">
        <v>8000748042</v>
      </c>
      <c r="G556" s="296">
        <v>46058</v>
      </c>
      <c r="H556" s="297">
        <v>100000</v>
      </c>
      <c r="I556" s="297">
        <v>100000</v>
      </c>
      <c r="J556" s="297">
        <v>0</v>
      </c>
      <c r="K556" s="295" t="s">
        <v>1731</v>
      </c>
      <c r="L556" s="294" t="s">
        <v>1828</v>
      </c>
      <c r="M556" s="294" t="s">
        <v>1829</v>
      </c>
      <c r="N556" s="294" t="s">
        <v>1830</v>
      </c>
      <c r="O556" s="295" t="s">
        <v>3076</v>
      </c>
      <c r="P556" s="298"/>
      <c r="Q556" s="364">
        <v>1</v>
      </c>
    </row>
    <row r="557" spans="1:17" hidden="1" x14ac:dyDescent="0.25">
      <c r="A557" s="287" t="s">
        <v>3077</v>
      </c>
      <c r="B557" s="311" t="s">
        <v>3078</v>
      </c>
      <c r="C557" s="305"/>
      <c r="D557" s="288" t="s">
        <v>3079</v>
      </c>
      <c r="E557" s="288" t="s">
        <v>3080</v>
      </c>
      <c r="F557" s="289"/>
      <c r="G557" s="290">
        <v>45511</v>
      </c>
      <c r="H557" s="291">
        <v>69000</v>
      </c>
      <c r="I557" s="291">
        <v>69000</v>
      </c>
      <c r="J557" s="291">
        <v>-69000</v>
      </c>
      <c r="K557" s="289" t="s">
        <v>1731</v>
      </c>
      <c r="L557" s="288" t="s">
        <v>1732</v>
      </c>
      <c r="M557" s="288" t="s">
        <v>1733</v>
      </c>
      <c r="N557" s="288" t="s">
        <v>1734</v>
      </c>
      <c r="O557" s="289" t="s">
        <v>1791</v>
      </c>
      <c r="P557" s="292"/>
    </row>
    <row r="558" spans="1:17" hidden="1" x14ac:dyDescent="0.25">
      <c r="A558" s="287" t="s">
        <v>3081</v>
      </c>
      <c r="B558" s="311" t="s">
        <v>3082</v>
      </c>
      <c r="C558" s="305"/>
      <c r="D558" s="288" t="s">
        <v>3083</v>
      </c>
      <c r="E558" s="288" t="s">
        <v>3084</v>
      </c>
      <c r="F558" s="289">
        <v>8000674378</v>
      </c>
      <c r="G558" s="290">
        <v>45615</v>
      </c>
      <c r="H558" s="291">
        <v>287000</v>
      </c>
      <c r="I558" s="291">
        <v>287000</v>
      </c>
      <c r="J558" s="291">
        <v>-287000</v>
      </c>
      <c r="K558" s="289" t="s">
        <v>1731</v>
      </c>
      <c r="L558" s="288" t="s">
        <v>1773</v>
      </c>
      <c r="M558" s="288" t="s">
        <v>1774</v>
      </c>
      <c r="N558" s="288" t="s">
        <v>1734</v>
      </c>
      <c r="O558" s="289" t="s">
        <v>3085</v>
      </c>
      <c r="P558" s="292"/>
    </row>
    <row r="559" spans="1:17" s="364" customFormat="1" ht="210" x14ac:dyDescent="0.25">
      <c r="A559" s="293" t="s">
        <v>3086</v>
      </c>
      <c r="B559" s="312" t="s">
        <v>3087</v>
      </c>
      <c r="C559" s="216" t="s">
        <v>4446</v>
      </c>
      <c r="D559" s="294" t="s">
        <v>3088</v>
      </c>
      <c r="E559" s="294" t="s">
        <v>70</v>
      </c>
      <c r="F559" s="295">
        <v>8000546830</v>
      </c>
      <c r="G559" s="296">
        <v>45092</v>
      </c>
      <c r="H559" s="297">
        <v>17404494.120000001</v>
      </c>
      <c r="I559" s="297">
        <v>17404494.120000001</v>
      </c>
      <c r="J559" s="297">
        <v>-1535178.26</v>
      </c>
      <c r="K559" s="295" t="s">
        <v>1731</v>
      </c>
      <c r="L559" s="294" t="s">
        <v>1773</v>
      </c>
      <c r="M559" s="294" t="s">
        <v>1774</v>
      </c>
      <c r="N559" s="294" t="s">
        <v>1734</v>
      </c>
      <c r="O559" s="295" t="s">
        <v>2268</v>
      </c>
      <c r="P559" s="298"/>
      <c r="Q559" s="364">
        <v>1</v>
      </c>
    </row>
    <row r="560" spans="1:17" s="364" customFormat="1" ht="105" x14ac:dyDescent="0.25">
      <c r="A560" s="293" t="s">
        <v>3086</v>
      </c>
      <c r="B560" s="312" t="s">
        <v>3087</v>
      </c>
      <c r="C560" s="216" t="s">
        <v>1675</v>
      </c>
      <c r="D560" s="294" t="s">
        <v>3088</v>
      </c>
      <c r="E560" s="294" t="s">
        <v>78</v>
      </c>
      <c r="F560" s="295">
        <v>8000569479</v>
      </c>
      <c r="G560" s="296">
        <v>45419</v>
      </c>
      <c r="H560" s="297">
        <v>367984.42</v>
      </c>
      <c r="I560" s="297">
        <v>367984.42</v>
      </c>
      <c r="J560" s="297">
        <v>-367984.42</v>
      </c>
      <c r="K560" s="295" t="s">
        <v>1731</v>
      </c>
      <c r="L560" s="294" t="s">
        <v>1773</v>
      </c>
      <c r="M560" s="294" t="s">
        <v>1774</v>
      </c>
      <c r="N560" s="294" t="s">
        <v>1734</v>
      </c>
      <c r="O560" s="295" t="s">
        <v>2268</v>
      </c>
      <c r="P560" s="298"/>
      <c r="Q560" s="364">
        <v>1</v>
      </c>
    </row>
    <row r="561" spans="1:16" hidden="1" x14ac:dyDescent="0.25">
      <c r="A561" s="287" t="s">
        <v>3089</v>
      </c>
      <c r="B561" s="311" t="s">
        <v>3090</v>
      </c>
      <c r="C561" s="305"/>
      <c r="D561" s="288" t="s">
        <v>3091</v>
      </c>
      <c r="E561" s="288" t="s">
        <v>1741</v>
      </c>
      <c r="F561" s="289"/>
      <c r="G561" s="290">
        <v>45649</v>
      </c>
      <c r="H561" s="291">
        <v>1839497.42</v>
      </c>
      <c r="I561" s="291">
        <v>1839497.42</v>
      </c>
      <c r="J561" s="291">
        <v>-809518.1</v>
      </c>
      <c r="K561" s="289" t="s">
        <v>1731</v>
      </c>
      <c r="L561" s="288" t="s">
        <v>1732</v>
      </c>
      <c r="M561" s="288" t="s">
        <v>1733</v>
      </c>
      <c r="N561" s="288" t="s">
        <v>1734</v>
      </c>
      <c r="O561" s="289" t="s">
        <v>1791</v>
      </c>
      <c r="P561" s="292"/>
    </row>
    <row r="562" spans="1:16" hidden="1" x14ac:dyDescent="0.25">
      <c r="A562" s="287" t="s">
        <v>3089</v>
      </c>
      <c r="B562" s="311" t="s">
        <v>3090</v>
      </c>
      <c r="C562" s="305"/>
      <c r="D562" s="288" t="s">
        <v>3091</v>
      </c>
      <c r="E562" s="288" t="s">
        <v>3092</v>
      </c>
      <c r="F562" s="289">
        <v>8000725552</v>
      </c>
      <c r="G562" s="290">
        <v>45568</v>
      </c>
      <c r="H562" s="291">
        <v>11440</v>
      </c>
      <c r="I562" s="291">
        <v>11440</v>
      </c>
      <c r="J562" s="291">
        <v>-11440</v>
      </c>
      <c r="K562" s="289" t="s">
        <v>1731</v>
      </c>
      <c r="L562" s="288" t="s">
        <v>1732</v>
      </c>
      <c r="M562" s="288" t="s">
        <v>1733</v>
      </c>
      <c r="N562" s="288" t="s">
        <v>1734</v>
      </c>
      <c r="O562" s="289" t="s">
        <v>3093</v>
      </c>
      <c r="P562" s="292"/>
    </row>
    <row r="563" spans="1:16" hidden="1" x14ac:dyDescent="0.25">
      <c r="A563" s="287" t="s">
        <v>3094</v>
      </c>
      <c r="B563" s="311" t="s">
        <v>3095</v>
      </c>
      <c r="C563" s="305"/>
      <c r="D563" s="288" t="s">
        <v>3096</v>
      </c>
      <c r="E563" s="288" t="s">
        <v>250</v>
      </c>
      <c r="F563" s="289">
        <v>8000670053</v>
      </c>
      <c r="G563" s="290">
        <v>46070</v>
      </c>
      <c r="H563" s="291">
        <v>74000</v>
      </c>
      <c r="I563" s="291">
        <v>74000</v>
      </c>
      <c r="J563" s="291">
        <v>0</v>
      </c>
      <c r="K563" s="289" t="s">
        <v>1731</v>
      </c>
      <c r="L563" s="288" t="s">
        <v>1828</v>
      </c>
      <c r="M563" s="288" t="s">
        <v>1829</v>
      </c>
      <c r="N563" s="288" t="s">
        <v>1830</v>
      </c>
      <c r="O563" s="289" t="s">
        <v>2268</v>
      </c>
      <c r="P563" s="292"/>
    </row>
    <row r="564" spans="1:16" hidden="1" x14ac:dyDescent="0.25">
      <c r="A564" s="287" t="s">
        <v>3094</v>
      </c>
      <c r="B564" s="311" t="s">
        <v>3095</v>
      </c>
      <c r="C564" s="305"/>
      <c r="D564" s="288" t="s">
        <v>3096</v>
      </c>
      <c r="E564" s="288" t="s">
        <v>895</v>
      </c>
      <c r="F564" s="289">
        <v>8000747981</v>
      </c>
      <c r="G564" s="290">
        <v>46069</v>
      </c>
      <c r="H564" s="291">
        <v>600000</v>
      </c>
      <c r="I564" s="291">
        <v>600000</v>
      </c>
      <c r="J564" s="291">
        <v>0</v>
      </c>
      <c r="K564" s="289" t="s">
        <v>1731</v>
      </c>
      <c r="L564" s="288" t="s">
        <v>1828</v>
      </c>
      <c r="M564" s="288" t="s">
        <v>1829</v>
      </c>
      <c r="N564" s="288" t="s">
        <v>1830</v>
      </c>
      <c r="O564" s="289" t="s">
        <v>2379</v>
      </c>
      <c r="P564" s="292"/>
    </row>
    <row r="565" spans="1:16" hidden="1" x14ac:dyDescent="0.25">
      <c r="A565" s="287" t="s">
        <v>3097</v>
      </c>
      <c r="B565" s="311" t="s">
        <v>3098</v>
      </c>
      <c r="C565" s="305"/>
      <c r="D565" s="288" t="s">
        <v>3099</v>
      </c>
      <c r="E565" s="288" t="s">
        <v>1741</v>
      </c>
      <c r="F565" s="289">
        <v>8701763256</v>
      </c>
      <c r="G565" s="290">
        <v>46065</v>
      </c>
      <c r="H565" s="291">
        <v>83570</v>
      </c>
      <c r="I565" s="291">
        <v>83570</v>
      </c>
      <c r="J565" s="291">
        <v>0</v>
      </c>
      <c r="K565" s="289" t="s">
        <v>1731</v>
      </c>
      <c r="L565" s="288" t="s">
        <v>1773</v>
      </c>
      <c r="M565" s="288" t="s">
        <v>1774</v>
      </c>
      <c r="N565" s="288" t="s">
        <v>1734</v>
      </c>
      <c r="O565" s="289" t="s">
        <v>1874</v>
      </c>
      <c r="P565" s="292"/>
    </row>
    <row r="566" spans="1:16" hidden="1" x14ac:dyDescent="0.25">
      <c r="A566" s="287" t="s">
        <v>3100</v>
      </c>
      <c r="B566" s="311" t="s">
        <v>3101</v>
      </c>
      <c r="C566" s="305"/>
      <c r="D566" s="288" t="s">
        <v>3102</v>
      </c>
      <c r="E566" s="288" t="s">
        <v>1741</v>
      </c>
      <c r="F566" s="289"/>
      <c r="G566" s="290">
        <v>45523</v>
      </c>
      <c r="H566" s="291">
        <v>193873.2</v>
      </c>
      <c r="I566" s="291">
        <v>193873.2</v>
      </c>
      <c r="J566" s="291">
        <v>-193873.2</v>
      </c>
      <c r="K566" s="289" t="s">
        <v>1731</v>
      </c>
      <c r="L566" s="288" t="s">
        <v>1732</v>
      </c>
      <c r="M566" s="288" t="s">
        <v>1733</v>
      </c>
      <c r="N566" s="288" t="s">
        <v>1734</v>
      </c>
      <c r="O566" s="289" t="s">
        <v>1791</v>
      </c>
      <c r="P566" s="292"/>
    </row>
    <row r="567" spans="1:16" hidden="1" x14ac:dyDescent="0.25">
      <c r="A567" s="287" t="s">
        <v>3100</v>
      </c>
      <c r="B567" s="311" t="s">
        <v>3101</v>
      </c>
      <c r="C567" s="305"/>
      <c r="D567" s="288" t="s">
        <v>3102</v>
      </c>
      <c r="E567" s="288" t="s">
        <v>3103</v>
      </c>
      <c r="F567" s="289">
        <v>8000725998</v>
      </c>
      <c r="G567" s="290">
        <v>45551</v>
      </c>
      <c r="H567" s="291">
        <v>6127786.6900000004</v>
      </c>
      <c r="I567" s="291">
        <v>6127786.6900000004</v>
      </c>
      <c r="J567" s="291">
        <v>-6127786.6900000004</v>
      </c>
      <c r="K567" s="289" t="s">
        <v>1731</v>
      </c>
      <c r="L567" s="288" t="s">
        <v>1732</v>
      </c>
      <c r="M567" s="288" t="s">
        <v>1733</v>
      </c>
      <c r="N567" s="288" t="s">
        <v>1734</v>
      </c>
      <c r="O567" s="289" t="s">
        <v>3093</v>
      </c>
      <c r="P567" s="292"/>
    </row>
    <row r="568" spans="1:16" hidden="1" x14ac:dyDescent="0.25">
      <c r="A568" s="287" t="s">
        <v>3104</v>
      </c>
      <c r="B568" s="311" t="s">
        <v>3105</v>
      </c>
      <c r="C568" s="305"/>
      <c r="D568" s="288" t="s">
        <v>3106</v>
      </c>
      <c r="E568" s="288" t="s">
        <v>3107</v>
      </c>
      <c r="F568" s="289">
        <v>8000725866</v>
      </c>
      <c r="G568" s="290">
        <v>45776</v>
      </c>
      <c r="H568" s="291">
        <v>4510</v>
      </c>
      <c r="I568" s="291">
        <v>4510</v>
      </c>
      <c r="J568" s="291">
        <v>-4510</v>
      </c>
      <c r="K568" s="289" t="s">
        <v>1731</v>
      </c>
      <c r="L568" s="288" t="s">
        <v>1773</v>
      </c>
      <c r="M568" s="288" t="s">
        <v>1774</v>
      </c>
      <c r="N568" s="288" t="s">
        <v>1734</v>
      </c>
      <c r="O568" s="289" t="s">
        <v>2129</v>
      </c>
      <c r="P568" s="292"/>
    </row>
    <row r="569" spans="1:16" hidden="1" x14ac:dyDescent="0.25">
      <c r="A569" s="287" t="s">
        <v>3108</v>
      </c>
      <c r="B569" s="311" t="s">
        <v>3109</v>
      </c>
      <c r="C569" s="305"/>
      <c r="D569" s="288" t="s">
        <v>3110</v>
      </c>
      <c r="E569" s="288" t="s">
        <v>3111</v>
      </c>
      <c r="F569" s="289">
        <v>8000556694</v>
      </c>
      <c r="G569" s="290">
        <v>45092</v>
      </c>
      <c r="H569" s="291">
        <v>36000</v>
      </c>
      <c r="I569" s="291">
        <v>36000</v>
      </c>
      <c r="J569" s="291">
        <v>-36000</v>
      </c>
      <c r="K569" s="289" t="s">
        <v>1731</v>
      </c>
      <c r="L569" s="288" t="s">
        <v>1773</v>
      </c>
      <c r="M569" s="288" t="s">
        <v>1774</v>
      </c>
      <c r="N569" s="288" t="s">
        <v>1734</v>
      </c>
      <c r="O569" s="289" t="s">
        <v>1892</v>
      </c>
      <c r="P569" s="292"/>
    </row>
    <row r="570" spans="1:16" hidden="1" x14ac:dyDescent="0.25">
      <c r="A570" s="287" t="s">
        <v>3112</v>
      </c>
      <c r="B570" s="311" t="s">
        <v>3113</v>
      </c>
      <c r="C570" s="305"/>
      <c r="D570" s="288" t="s">
        <v>3114</v>
      </c>
      <c r="E570" s="288" t="s">
        <v>3115</v>
      </c>
      <c r="F570" s="289">
        <v>8000557666</v>
      </c>
      <c r="G570" s="290">
        <v>45779</v>
      </c>
      <c r="H570" s="291">
        <v>1252638.1499999999</v>
      </c>
      <c r="I570" s="291">
        <v>1252638.1499999999</v>
      </c>
      <c r="J570" s="291">
        <v>-1252638.1499999999</v>
      </c>
      <c r="K570" s="289" t="s">
        <v>1731</v>
      </c>
      <c r="L570" s="288" t="s">
        <v>2706</v>
      </c>
      <c r="M570" s="288" t="s">
        <v>2707</v>
      </c>
      <c r="N570" s="288" t="s">
        <v>1830</v>
      </c>
      <c r="O570" s="289" t="s">
        <v>3116</v>
      </c>
      <c r="P570" s="292"/>
    </row>
    <row r="571" spans="1:16" hidden="1" x14ac:dyDescent="0.25">
      <c r="A571" s="287" t="s">
        <v>3112</v>
      </c>
      <c r="B571" s="311" t="s">
        <v>3113</v>
      </c>
      <c r="C571" s="305"/>
      <c r="D571" s="288" t="s">
        <v>3114</v>
      </c>
      <c r="E571" s="288" t="s">
        <v>3117</v>
      </c>
      <c r="F571" s="289">
        <v>8000558063</v>
      </c>
      <c r="G571" s="290">
        <v>45132</v>
      </c>
      <c r="H571" s="291">
        <v>327819.90999999997</v>
      </c>
      <c r="I571" s="291">
        <v>327819.90999999997</v>
      </c>
      <c r="J571" s="291">
        <v>-506570.78</v>
      </c>
      <c r="K571" s="289" t="s">
        <v>1731</v>
      </c>
      <c r="L571" s="288" t="s">
        <v>1773</v>
      </c>
      <c r="M571" s="288" t="s">
        <v>1774</v>
      </c>
      <c r="N571" s="288" t="s">
        <v>1734</v>
      </c>
      <c r="O571" s="289" t="s">
        <v>3118</v>
      </c>
      <c r="P571" s="292"/>
    </row>
    <row r="572" spans="1:16" hidden="1" x14ac:dyDescent="0.25">
      <c r="A572" s="287" t="s">
        <v>3112</v>
      </c>
      <c r="B572" s="311" t="s">
        <v>3113</v>
      </c>
      <c r="C572" s="305"/>
      <c r="D572" s="288" t="s">
        <v>3114</v>
      </c>
      <c r="E572" s="288" t="s">
        <v>3117</v>
      </c>
      <c r="F572" s="289">
        <v>8000558063</v>
      </c>
      <c r="G572" s="290">
        <v>45779</v>
      </c>
      <c r="H572" s="291">
        <v>178750.87</v>
      </c>
      <c r="I572" s="291">
        <v>178750.87</v>
      </c>
      <c r="J572" s="291">
        <v>-506570.78</v>
      </c>
      <c r="K572" s="289" t="s">
        <v>1731</v>
      </c>
      <c r="L572" s="288" t="s">
        <v>2706</v>
      </c>
      <c r="M572" s="288" t="s">
        <v>2707</v>
      </c>
      <c r="N572" s="288" t="s">
        <v>1830</v>
      </c>
      <c r="O572" s="289" t="s">
        <v>3118</v>
      </c>
      <c r="P572" s="292"/>
    </row>
    <row r="573" spans="1:16" hidden="1" x14ac:dyDescent="0.25">
      <c r="A573" s="287" t="s">
        <v>3119</v>
      </c>
      <c r="B573" s="311" t="s">
        <v>3120</v>
      </c>
      <c r="C573" s="305"/>
      <c r="D573" s="288" t="s">
        <v>3121</v>
      </c>
      <c r="E573" s="288"/>
      <c r="F573" s="289">
        <v>8701013556</v>
      </c>
      <c r="G573" s="290">
        <v>45212</v>
      </c>
      <c r="H573" s="291">
        <v>0.05</v>
      </c>
      <c r="I573" s="291">
        <v>0.05</v>
      </c>
      <c r="J573" s="291">
        <v>-0.05</v>
      </c>
      <c r="K573" s="289" t="s">
        <v>1731</v>
      </c>
      <c r="L573" s="288" t="s">
        <v>1732</v>
      </c>
      <c r="M573" s="288" t="s">
        <v>1733</v>
      </c>
      <c r="N573" s="288" t="s">
        <v>1734</v>
      </c>
      <c r="O573" s="289" t="s">
        <v>3122</v>
      </c>
      <c r="P573" s="292"/>
    </row>
    <row r="574" spans="1:16" hidden="1" x14ac:dyDescent="0.25">
      <c r="A574" s="287" t="s">
        <v>3123</v>
      </c>
      <c r="B574" s="311" t="s">
        <v>3124</v>
      </c>
      <c r="C574" s="305"/>
      <c r="D574" s="288" t="s">
        <v>3125</v>
      </c>
      <c r="E574" s="288"/>
      <c r="F574" s="289">
        <v>8701743368</v>
      </c>
      <c r="G574" s="290">
        <v>46051</v>
      </c>
      <c r="H574" s="291">
        <v>68000</v>
      </c>
      <c r="I574" s="291">
        <v>68000</v>
      </c>
      <c r="J574" s="291">
        <v>0</v>
      </c>
      <c r="K574" s="289" t="s">
        <v>1731</v>
      </c>
      <c r="L574" s="288" t="s">
        <v>1742</v>
      </c>
      <c r="M574" s="288" t="s">
        <v>1743</v>
      </c>
      <c r="N574" s="288" t="s">
        <v>1734</v>
      </c>
      <c r="O574" s="289" t="s">
        <v>1888</v>
      </c>
      <c r="P574" s="292"/>
    </row>
    <row r="575" spans="1:16" hidden="1" x14ac:dyDescent="0.25">
      <c r="A575" s="287" t="s">
        <v>3126</v>
      </c>
      <c r="B575" s="311" t="s">
        <v>3127</v>
      </c>
      <c r="C575" s="305"/>
      <c r="D575" s="288" t="s">
        <v>3128</v>
      </c>
      <c r="E575" s="288" t="s">
        <v>3129</v>
      </c>
      <c r="F575" s="289">
        <v>8000725961</v>
      </c>
      <c r="G575" s="290">
        <v>45582</v>
      </c>
      <c r="H575" s="291">
        <v>0.01</v>
      </c>
      <c r="I575" s="291">
        <v>0.01</v>
      </c>
      <c r="J575" s="291">
        <v>-0.01</v>
      </c>
      <c r="K575" s="289" t="s">
        <v>1731</v>
      </c>
      <c r="L575" s="288" t="s">
        <v>1732</v>
      </c>
      <c r="M575" s="288" t="s">
        <v>1733</v>
      </c>
      <c r="N575" s="288" t="s">
        <v>1734</v>
      </c>
      <c r="O575" s="289" t="s">
        <v>3093</v>
      </c>
      <c r="P575" s="292"/>
    </row>
    <row r="576" spans="1:16" hidden="1" x14ac:dyDescent="0.25">
      <c r="A576" s="287" t="s">
        <v>3130</v>
      </c>
      <c r="B576" s="311" t="s">
        <v>3131</v>
      </c>
      <c r="C576" s="305"/>
      <c r="D576" s="288" t="s">
        <v>3132</v>
      </c>
      <c r="E576" s="288" t="s">
        <v>3133</v>
      </c>
      <c r="F576" s="289">
        <v>8000750879</v>
      </c>
      <c r="G576" s="290">
        <v>45890</v>
      </c>
      <c r="H576" s="291">
        <v>115000</v>
      </c>
      <c r="I576" s="291">
        <v>0</v>
      </c>
      <c r="J576" s="291">
        <v>0</v>
      </c>
      <c r="K576" s="289" t="s">
        <v>1731</v>
      </c>
      <c r="L576" s="288" t="s">
        <v>1773</v>
      </c>
      <c r="M576" s="288" t="s">
        <v>1774</v>
      </c>
      <c r="N576" s="288" t="s">
        <v>1734</v>
      </c>
      <c r="O576" s="289" t="s">
        <v>3134</v>
      </c>
      <c r="P576" s="292"/>
    </row>
    <row r="577" spans="1:16" hidden="1" x14ac:dyDescent="0.25">
      <c r="A577" s="287" t="s">
        <v>3135</v>
      </c>
      <c r="B577" s="311" t="s">
        <v>3136</v>
      </c>
      <c r="C577" s="305"/>
      <c r="D577" s="288" t="s">
        <v>3137</v>
      </c>
      <c r="E577" s="288" t="s">
        <v>3138</v>
      </c>
      <c r="F577" s="289">
        <v>8000725939</v>
      </c>
      <c r="G577" s="290">
        <v>45566</v>
      </c>
      <c r="H577" s="291">
        <v>1982891.52</v>
      </c>
      <c r="I577" s="291">
        <v>1982891.52</v>
      </c>
      <c r="J577" s="291">
        <v>-1982891.52</v>
      </c>
      <c r="K577" s="289" t="s">
        <v>1731</v>
      </c>
      <c r="L577" s="288" t="s">
        <v>1732</v>
      </c>
      <c r="M577" s="288" t="s">
        <v>1733</v>
      </c>
      <c r="N577" s="288" t="s">
        <v>1734</v>
      </c>
      <c r="O577" s="289" t="s">
        <v>3139</v>
      </c>
      <c r="P577" s="292"/>
    </row>
    <row r="578" spans="1:16" hidden="1" x14ac:dyDescent="0.25">
      <c r="A578" s="287" t="s">
        <v>3140</v>
      </c>
      <c r="B578" s="311" t="s">
        <v>3141</v>
      </c>
      <c r="C578" s="305"/>
      <c r="D578" s="288" t="s">
        <v>3142</v>
      </c>
      <c r="E578" s="288"/>
      <c r="F578" s="289"/>
      <c r="G578" s="290">
        <v>45545</v>
      </c>
      <c r="H578" s="291">
        <v>44387</v>
      </c>
      <c r="I578" s="291">
        <v>44387</v>
      </c>
      <c r="J578" s="291">
        <v>-44387</v>
      </c>
      <c r="K578" s="289" t="s">
        <v>1731</v>
      </c>
      <c r="L578" s="288" t="s">
        <v>1732</v>
      </c>
      <c r="M578" s="288" t="s">
        <v>1733</v>
      </c>
      <c r="N578" s="288" t="s">
        <v>1734</v>
      </c>
      <c r="O578" s="289" t="s">
        <v>1791</v>
      </c>
      <c r="P578" s="292"/>
    </row>
    <row r="579" spans="1:16" hidden="1" x14ac:dyDescent="0.25">
      <c r="A579" s="287" t="s">
        <v>3140</v>
      </c>
      <c r="B579" s="311" t="s">
        <v>3141</v>
      </c>
      <c r="C579" s="305"/>
      <c r="D579" s="288" t="s">
        <v>3142</v>
      </c>
      <c r="E579" s="288" t="s">
        <v>1741</v>
      </c>
      <c r="F579" s="289"/>
      <c r="G579" s="290">
        <v>45540</v>
      </c>
      <c r="H579" s="291">
        <v>71358</v>
      </c>
      <c r="I579" s="291">
        <v>71358</v>
      </c>
      <c r="J579" s="291">
        <v>-71358</v>
      </c>
      <c r="K579" s="289" t="s">
        <v>1731</v>
      </c>
      <c r="L579" s="288" t="s">
        <v>1732</v>
      </c>
      <c r="M579" s="288" t="s">
        <v>1733</v>
      </c>
      <c r="N579" s="288" t="s">
        <v>1734</v>
      </c>
      <c r="O579" s="289" t="s">
        <v>1791</v>
      </c>
      <c r="P579" s="292"/>
    </row>
    <row r="580" spans="1:16" hidden="1" x14ac:dyDescent="0.25">
      <c r="A580" s="287" t="s">
        <v>3143</v>
      </c>
      <c r="B580" s="311" t="s">
        <v>3144</v>
      </c>
      <c r="C580" s="305"/>
      <c r="D580" s="288" t="s">
        <v>3145</v>
      </c>
      <c r="E580" s="288"/>
      <c r="F580" s="289"/>
      <c r="G580" s="290">
        <v>45635</v>
      </c>
      <c r="H580" s="291">
        <v>169560</v>
      </c>
      <c r="I580" s="291">
        <v>169560</v>
      </c>
      <c r="J580" s="291">
        <v>-169560</v>
      </c>
      <c r="K580" s="289" t="s">
        <v>1731</v>
      </c>
      <c r="L580" s="288" t="s">
        <v>1732</v>
      </c>
      <c r="M580" s="288" t="s">
        <v>1733</v>
      </c>
      <c r="N580" s="288" t="s">
        <v>1734</v>
      </c>
      <c r="O580" s="289" t="s">
        <v>1791</v>
      </c>
      <c r="P580" s="292"/>
    </row>
    <row r="581" spans="1:16" hidden="1" x14ac:dyDescent="0.25">
      <c r="A581" s="287" t="s">
        <v>3146</v>
      </c>
      <c r="B581" s="311" t="s">
        <v>3147</v>
      </c>
      <c r="C581" s="305"/>
      <c r="D581" s="288" t="s">
        <v>3148</v>
      </c>
      <c r="E581" s="288" t="s">
        <v>1741</v>
      </c>
      <c r="F581" s="289"/>
      <c r="G581" s="290">
        <v>45485</v>
      </c>
      <c r="H581" s="291">
        <v>162000</v>
      </c>
      <c r="I581" s="291">
        <v>162000</v>
      </c>
      <c r="J581" s="291">
        <v>-162000</v>
      </c>
      <c r="K581" s="289" t="s">
        <v>1731</v>
      </c>
      <c r="L581" s="288" t="s">
        <v>1732</v>
      </c>
      <c r="M581" s="288" t="s">
        <v>1733</v>
      </c>
      <c r="N581" s="288" t="s">
        <v>1734</v>
      </c>
      <c r="O581" s="289" t="s">
        <v>1791</v>
      </c>
      <c r="P581" s="292"/>
    </row>
    <row r="582" spans="1:16" hidden="1" x14ac:dyDescent="0.25">
      <c r="A582" s="287" t="s">
        <v>3149</v>
      </c>
      <c r="B582" s="311" t="s">
        <v>3150</v>
      </c>
      <c r="C582" s="305"/>
      <c r="D582" s="288" t="s">
        <v>3151</v>
      </c>
      <c r="E582" s="288" t="s">
        <v>3152</v>
      </c>
      <c r="F582" s="289">
        <v>8000682114</v>
      </c>
      <c r="G582" s="290">
        <v>45667</v>
      </c>
      <c r="H582" s="291">
        <v>117975</v>
      </c>
      <c r="I582" s="291">
        <v>117975</v>
      </c>
      <c r="J582" s="291">
        <v>-117975</v>
      </c>
      <c r="K582" s="289" t="s">
        <v>1731</v>
      </c>
      <c r="L582" s="288" t="s">
        <v>1732</v>
      </c>
      <c r="M582" s="288" t="s">
        <v>1733</v>
      </c>
      <c r="N582" s="288" t="s">
        <v>1734</v>
      </c>
      <c r="O582" s="289" t="s">
        <v>2004</v>
      </c>
      <c r="P582" s="292"/>
    </row>
    <row r="583" spans="1:16" hidden="1" x14ac:dyDescent="0.25">
      <c r="A583" s="287" t="s">
        <v>3153</v>
      </c>
      <c r="B583" s="311" t="s">
        <v>3154</v>
      </c>
      <c r="C583" s="305"/>
      <c r="D583" s="288" t="s">
        <v>3155</v>
      </c>
      <c r="E583" s="288" t="s">
        <v>1741</v>
      </c>
      <c r="F583" s="289"/>
      <c r="G583" s="290">
        <v>45559</v>
      </c>
      <c r="H583" s="291">
        <v>44787</v>
      </c>
      <c r="I583" s="291">
        <v>44787</v>
      </c>
      <c r="J583" s="291">
        <v>-44787</v>
      </c>
      <c r="K583" s="289" t="s">
        <v>1731</v>
      </c>
      <c r="L583" s="288" t="s">
        <v>1732</v>
      </c>
      <c r="M583" s="288" t="s">
        <v>1733</v>
      </c>
      <c r="N583" s="288" t="s">
        <v>1734</v>
      </c>
      <c r="O583" s="289" t="s">
        <v>1791</v>
      </c>
      <c r="P583" s="292"/>
    </row>
    <row r="584" spans="1:16" hidden="1" x14ac:dyDescent="0.25">
      <c r="A584" s="287" t="s">
        <v>3156</v>
      </c>
      <c r="B584" s="311" t="s">
        <v>3157</v>
      </c>
      <c r="C584" s="305"/>
      <c r="D584" s="288" t="s">
        <v>3158</v>
      </c>
      <c r="E584" s="288" t="s">
        <v>3159</v>
      </c>
      <c r="F584" s="289">
        <v>4000196148</v>
      </c>
      <c r="G584" s="290">
        <v>46081</v>
      </c>
      <c r="H584" s="291">
        <v>55593.99</v>
      </c>
      <c r="I584" s="291">
        <v>25399.23</v>
      </c>
      <c r="J584" s="291">
        <v>0</v>
      </c>
      <c r="K584" s="289" t="s">
        <v>1731</v>
      </c>
      <c r="L584" s="288" t="s">
        <v>1754</v>
      </c>
      <c r="M584" s="288" t="s">
        <v>1755</v>
      </c>
      <c r="N584" s="288" t="s">
        <v>1751</v>
      </c>
      <c r="O584" s="289" t="s">
        <v>1782</v>
      </c>
      <c r="P584" s="292"/>
    </row>
    <row r="585" spans="1:16" hidden="1" x14ac:dyDescent="0.25">
      <c r="A585" s="287" t="s">
        <v>3156</v>
      </c>
      <c r="B585" s="311" t="s">
        <v>3157</v>
      </c>
      <c r="C585" s="305"/>
      <c r="D585" s="288" t="s">
        <v>3158</v>
      </c>
      <c r="E585" s="288" t="s">
        <v>3159</v>
      </c>
      <c r="F585" s="289">
        <v>4000196148</v>
      </c>
      <c r="G585" s="290">
        <v>46081</v>
      </c>
      <c r="H585" s="291">
        <v>37332</v>
      </c>
      <c r="I585" s="291">
        <v>18666</v>
      </c>
      <c r="J585" s="291">
        <v>0</v>
      </c>
      <c r="K585" s="289" t="s">
        <v>1731</v>
      </c>
      <c r="L585" s="288" t="s">
        <v>1780</v>
      </c>
      <c r="M585" s="288" t="s">
        <v>1781</v>
      </c>
      <c r="N585" s="288" t="s">
        <v>1751</v>
      </c>
      <c r="O585" s="289" t="s">
        <v>1782</v>
      </c>
      <c r="P585" s="292"/>
    </row>
    <row r="586" spans="1:16" hidden="1" x14ac:dyDescent="0.25">
      <c r="A586" s="287" t="s">
        <v>3160</v>
      </c>
      <c r="B586" s="311" t="s">
        <v>3161</v>
      </c>
      <c r="C586" s="305"/>
      <c r="D586" s="288" t="s">
        <v>3162</v>
      </c>
      <c r="E586" s="288" t="s">
        <v>86</v>
      </c>
      <c r="F586" s="289">
        <v>8000581815</v>
      </c>
      <c r="G586" s="290">
        <v>45598</v>
      </c>
      <c r="H586" s="291">
        <v>460000</v>
      </c>
      <c r="I586" s="291">
        <v>460000</v>
      </c>
      <c r="J586" s="291">
        <v>-460000</v>
      </c>
      <c r="K586" s="289" t="s">
        <v>1731</v>
      </c>
      <c r="L586" s="288" t="s">
        <v>1828</v>
      </c>
      <c r="M586" s="288" t="s">
        <v>1829</v>
      </c>
      <c r="N586" s="288" t="s">
        <v>1830</v>
      </c>
      <c r="O586" s="289" t="s">
        <v>2726</v>
      </c>
      <c r="P586" s="292"/>
    </row>
    <row r="587" spans="1:16" hidden="1" x14ac:dyDescent="0.25">
      <c r="A587" s="287" t="s">
        <v>3163</v>
      </c>
      <c r="B587" s="311" t="s">
        <v>3164</v>
      </c>
      <c r="C587" s="305"/>
      <c r="D587" s="288" t="s">
        <v>3165</v>
      </c>
      <c r="E587" s="288" t="s">
        <v>3166</v>
      </c>
      <c r="F587" s="289">
        <v>8000583281</v>
      </c>
      <c r="G587" s="290">
        <v>45223</v>
      </c>
      <c r="H587" s="291">
        <v>273643.38</v>
      </c>
      <c r="I587" s="291">
        <v>273643.38</v>
      </c>
      <c r="J587" s="291">
        <v>-228036.14</v>
      </c>
      <c r="K587" s="289" t="s">
        <v>1731</v>
      </c>
      <c r="L587" s="288" t="s">
        <v>1773</v>
      </c>
      <c r="M587" s="288" t="s">
        <v>1774</v>
      </c>
      <c r="N587" s="288" t="s">
        <v>1734</v>
      </c>
      <c r="O587" s="289" t="s">
        <v>3167</v>
      </c>
      <c r="P587" s="292"/>
    </row>
    <row r="588" spans="1:16" hidden="1" x14ac:dyDescent="0.25">
      <c r="A588" s="287" t="s">
        <v>3163</v>
      </c>
      <c r="B588" s="311" t="s">
        <v>3164</v>
      </c>
      <c r="C588" s="305"/>
      <c r="D588" s="288" t="s">
        <v>3165</v>
      </c>
      <c r="E588" s="288" t="s">
        <v>3166</v>
      </c>
      <c r="F588" s="289">
        <v>8000583281</v>
      </c>
      <c r="G588" s="290">
        <v>45993</v>
      </c>
      <c r="H588" s="291">
        <v>377511.66</v>
      </c>
      <c r="I588" s="291">
        <v>377511.66</v>
      </c>
      <c r="J588" s="291">
        <v>-228036.14</v>
      </c>
      <c r="K588" s="289" t="s">
        <v>1731</v>
      </c>
      <c r="L588" s="288" t="s">
        <v>1828</v>
      </c>
      <c r="M588" s="288" t="s">
        <v>1829</v>
      </c>
      <c r="N588" s="288" t="s">
        <v>1830</v>
      </c>
      <c r="O588" s="289" t="s">
        <v>3167</v>
      </c>
      <c r="P588" s="292"/>
    </row>
    <row r="589" spans="1:16" hidden="1" x14ac:dyDescent="0.25">
      <c r="A589" s="287" t="s">
        <v>3168</v>
      </c>
      <c r="B589" s="311" t="s">
        <v>3169</v>
      </c>
      <c r="C589" s="305"/>
      <c r="D589" s="288" t="s">
        <v>3170</v>
      </c>
      <c r="E589" s="288" t="s">
        <v>3171</v>
      </c>
      <c r="F589" s="289">
        <v>8000726021</v>
      </c>
      <c r="G589" s="290">
        <v>45568</v>
      </c>
      <c r="H589" s="291">
        <v>316469.75</v>
      </c>
      <c r="I589" s="291">
        <v>316469.75</v>
      </c>
      <c r="J589" s="291">
        <v>-316469.75</v>
      </c>
      <c r="K589" s="289" t="s">
        <v>1731</v>
      </c>
      <c r="L589" s="288" t="s">
        <v>1732</v>
      </c>
      <c r="M589" s="288" t="s">
        <v>1733</v>
      </c>
      <c r="N589" s="288" t="s">
        <v>1734</v>
      </c>
      <c r="O589" s="289" t="s">
        <v>3172</v>
      </c>
      <c r="P589" s="292"/>
    </row>
    <row r="590" spans="1:16" hidden="1" x14ac:dyDescent="0.25">
      <c r="A590" s="287" t="s">
        <v>3173</v>
      </c>
      <c r="B590" s="311" t="s">
        <v>3174</v>
      </c>
      <c r="C590" s="305"/>
      <c r="D590" s="288" t="s">
        <v>3175</v>
      </c>
      <c r="E590" s="288"/>
      <c r="F590" s="289">
        <v>8701748350</v>
      </c>
      <c r="G590" s="290">
        <v>46065</v>
      </c>
      <c r="H590" s="291">
        <v>26400</v>
      </c>
      <c r="I590" s="291">
        <v>26400</v>
      </c>
      <c r="J590" s="291">
        <v>0</v>
      </c>
      <c r="K590" s="289" t="s">
        <v>1731</v>
      </c>
      <c r="L590" s="288" t="s">
        <v>1773</v>
      </c>
      <c r="M590" s="288" t="s">
        <v>1774</v>
      </c>
      <c r="N590" s="288" t="s">
        <v>1734</v>
      </c>
      <c r="O590" s="289" t="s">
        <v>1823</v>
      </c>
      <c r="P590" s="292"/>
    </row>
    <row r="591" spans="1:16" hidden="1" x14ac:dyDescent="0.25">
      <c r="A591" s="287" t="s">
        <v>3176</v>
      </c>
      <c r="B591" s="311" t="s">
        <v>3177</v>
      </c>
      <c r="C591" s="305"/>
      <c r="D591" s="288" t="s">
        <v>3178</v>
      </c>
      <c r="E591" s="288" t="s">
        <v>3179</v>
      </c>
      <c r="F591" s="289">
        <v>8000593170</v>
      </c>
      <c r="G591" s="290">
        <v>45337</v>
      </c>
      <c r="H591" s="291">
        <v>588606.88</v>
      </c>
      <c r="I591" s="291">
        <v>588606.88</v>
      </c>
      <c r="J591" s="291">
        <v>-490505.73</v>
      </c>
      <c r="K591" s="289" t="s">
        <v>1731</v>
      </c>
      <c r="L591" s="288" t="s">
        <v>1773</v>
      </c>
      <c r="M591" s="288" t="s">
        <v>1774</v>
      </c>
      <c r="N591" s="288" t="s">
        <v>1734</v>
      </c>
      <c r="O591" s="289" t="s">
        <v>3180</v>
      </c>
      <c r="P591" s="292"/>
    </row>
    <row r="592" spans="1:16" hidden="1" x14ac:dyDescent="0.25">
      <c r="A592" s="287" t="s">
        <v>3176</v>
      </c>
      <c r="B592" s="311" t="s">
        <v>3177</v>
      </c>
      <c r="C592" s="305"/>
      <c r="D592" s="288" t="s">
        <v>3178</v>
      </c>
      <c r="E592" s="288" t="s">
        <v>3181</v>
      </c>
      <c r="F592" s="289">
        <v>8000640472</v>
      </c>
      <c r="G592" s="290">
        <v>45456</v>
      </c>
      <c r="H592" s="291">
        <v>2227677.6</v>
      </c>
      <c r="I592" s="291">
        <v>2227677.6</v>
      </c>
      <c r="J592" s="291">
        <v>-2227677.6</v>
      </c>
      <c r="K592" s="289" t="s">
        <v>1731</v>
      </c>
      <c r="L592" s="288" t="s">
        <v>1773</v>
      </c>
      <c r="M592" s="288" t="s">
        <v>1774</v>
      </c>
      <c r="N592" s="288" t="s">
        <v>1734</v>
      </c>
      <c r="O592" s="289" t="s">
        <v>3180</v>
      </c>
      <c r="P592" s="292"/>
    </row>
    <row r="593" spans="1:17" hidden="1" x14ac:dyDescent="0.25">
      <c r="A593" s="287" t="s">
        <v>3176</v>
      </c>
      <c r="B593" s="311" t="s">
        <v>3177</v>
      </c>
      <c r="C593" s="305"/>
      <c r="D593" s="288" t="s">
        <v>3178</v>
      </c>
      <c r="E593" s="288" t="s">
        <v>3182</v>
      </c>
      <c r="F593" s="289">
        <v>8000773672</v>
      </c>
      <c r="G593" s="290">
        <v>45974</v>
      </c>
      <c r="H593" s="291">
        <v>2955000.45</v>
      </c>
      <c r="I593" s="291">
        <v>2955000.45</v>
      </c>
      <c r="J593" s="291">
        <v>0</v>
      </c>
      <c r="K593" s="289" t="s">
        <v>1731</v>
      </c>
      <c r="L593" s="288" t="s">
        <v>1773</v>
      </c>
      <c r="M593" s="288" t="s">
        <v>1774</v>
      </c>
      <c r="N593" s="288" t="s">
        <v>1734</v>
      </c>
      <c r="O593" s="289" t="s">
        <v>2564</v>
      </c>
      <c r="P593" s="292"/>
    </row>
    <row r="594" spans="1:17" hidden="1" x14ac:dyDescent="0.25">
      <c r="A594" s="287" t="s">
        <v>3183</v>
      </c>
      <c r="B594" s="311" t="s">
        <v>3184</v>
      </c>
      <c r="C594" s="305"/>
      <c r="D594" s="288" t="s">
        <v>3185</v>
      </c>
      <c r="E594" s="288"/>
      <c r="F594" s="289">
        <v>8701762382</v>
      </c>
      <c r="G594" s="290">
        <v>46079</v>
      </c>
      <c r="H594" s="291">
        <v>8171.01</v>
      </c>
      <c r="I594" s="291">
        <v>0</v>
      </c>
      <c r="J594" s="291">
        <v>0</v>
      </c>
      <c r="K594" s="289" t="s">
        <v>1731</v>
      </c>
      <c r="L594" s="288" t="s">
        <v>1732</v>
      </c>
      <c r="M594" s="288" t="s">
        <v>1733</v>
      </c>
      <c r="N594" s="288" t="s">
        <v>1734</v>
      </c>
      <c r="O594" s="289" t="s">
        <v>3186</v>
      </c>
      <c r="P594" s="292"/>
    </row>
    <row r="595" spans="1:17" hidden="1" x14ac:dyDescent="0.25">
      <c r="A595" s="287" t="s">
        <v>3183</v>
      </c>
      <c r="B595" s="311" t="s">
        <v>3184</v>
      </c>
      <c r="C595" s="305"/>
      <c r="D595" s="288" t="s">
        <v>3185</v>
      </c>
      <c r="E595" s="288"/>
      <c r="F595" s="289">
        <v>8701765190</v>
      </c>
      <c r="G595" s="290">
        <v>46079</v>
      </c>
      <c r="H595" s="291">
        <v>21283</v>
      </c>
      <c r="I595" s="291">
        <v>0</v>
      </c>
      <c r="J595" s="291">
        <v>0</v>
      </c>
      <c r="K595" s="289" t="s">
        <v>1731</v>
      </c>
      <c r="L595" s="288" t="s">
        <v>1732</v>
      </c>
      <c r="M595" s="288" t="s">
        <v>1733</v>
      </c>
      <c r="N595" s="288" t="s">
        <v>1734</v>
      </c>
      <c r="O595" s="289" t="s">
        <v>3186</v>
      </c>
      <c r="P595" s="292"/>
    </row>
    <row r="596" spans="1:17" hidden="1" x14ac:dyDescent="0.25">
      <c r="A596" s="287" t="s">
        <v>3187</v>
      </c>
      <c r="B596" s="311" t="s">
        <v>3188</v>
      </c>
      <c r="C596" s="305"/>
      <c r="D596" s="288" t="s">
        <v>3189</v>
      </c>
      <c r="E596" s="288" t="s">
        <v>1741</v>
      </c>
      <c r="F596" s="289">
        <v>8701745352</v>
      </c>
      <c r="G596" s="290">
        <v>46051</v>
      </c>
      <c r="H596" s="291">
        <v>41364.800000000003</v>
      </c>
      <c r="I596" s="291">
        <v>41364.800000000003</v>
      </c>
      <c r="J596" s="291">
        <v>0</v>
      </c>
      <c r="K596" s="289" t="s">
        <v>1731</v>
      </c>
      <c r="L596" s="288" t="s">
        <v>1773</v>
      </c>
      <c r="M596" s="288" t="s">
        <v>1774</v>
      </c>
      <c r="N596" s="288" t="s">
        <v>1734</v>
      </c>
      <c r="O596" s="289" t="s">
        <v>1874</v>
      </c>
      <c r="P596" s="292"/>
    </row>
    <row r="597" spans="1:17" hidden="1" x14ac:dyDescent="0.25">
      <c r="A597" s="287" t="s">
        <v>3187</v>
      </c>
      <c r="B597" s="311" t="s">
        <v>3188</v>
      </c>
      <c r="C597" s="305"/>
      <c r="D597" s="288" t="s">
        <v>3189</v>
      </c>
      <c r="E597" s="288" t="s">
        <v>1741</v>
      </c>
      <c r="F597" s="289">
        <v>8701772558</v>
      </c>
      <c r="G597" s="290">
        <v>46079</v>
      </c>
      <c r="H597" s="291">
        <v>81256.600000000006</v>
      </c>
      <c r="I597" s="291">
        <v>81256.600000000006</v>
      </c>
      <c r="J597" s="291">
        <v>0</v>
      </c>
      <c r="K597" s="289" t="s">
        <v>1731</v>
      </c>
      <c r="L597" s="288" t="s">
        <v>1773</v>
      </c>
      <c r="M597" s="288" t="s">
        <v>1774</v>
      </c>
      <c r="N597" s="288" t="s">
        <v>1734</v>
      </c>
      <c r="O597" s="289" t="s">
        <v>1874</v>
      </c>
      <c r="P597" s="292"/>
    </row>
    <row r="598" spans="1:17" hidden="1" x14ac:dyDescent="0.25">
      <c r="A598" s="287" t="s">
        <v>3190</v>
      </c>
      <c r="B598" s="311" t="s">
        <v>3191</v>
      </c>
      <c r="C598" s="305"/>
      <c r="D598" s="288" t="s">
        <v>3192</v>
      </c>
      <c r="E598" s="288" t="s">
        <v>3193</v>
      </c>
      <c r="F598" s="289">
        <v>8000607342</v>
      </c>
      <c r="G598" s="290">
        <v>45327</v>
      </c>
      <c r="H598" s="291">
        <v>3672619.24</v>
      </c>
      <c r="I598" s="291">
        <v>3672619.24</v>
      </c>
      <c r="J598" s="291">
        <v>-3060516.03</v>
      </c>
      <c r="K598" s="289" t="s">
        <v>1731</v>
      </c>
      <c r="L598" s="288" t="s">
        <v>1773</v>
      </c>
      <c r="M598" s="288" t="s">
        <v>1774</v>
      </c>
      <c r="N598" s="288" t="s">
        <v>1734</v>
      </c>
      <c r="O598" s="289" t="s">
        <v>3194</v>
      </c>
      <c r="P598" s="292"/>
    </row>
    <row r="599" spans="1:17" hidden="1" x14ac:dyDescent="0.25">
      <c r="A599" s="287" t="s">
        <v>3190</v>
      </c>
      <c r="B599" s="311" t="s">
        <v>3191</v>
      </c>
      <c r="C599" s="305"/>
      <c r="D599" s="288" t="s">
        <v>3192</v>
      </c>
      <c r="E599" s="288" t="s">
        <v>3193</v>
      </c>
      <c r="F599" s="289"/>
      <c r="G599" s="290">
        <v>45954</v>
      </c>
      <c r="H599" s="291">
        <v>1276555.68</v>
      </c>
      <c r="I599" s="291">
        <v>1276555.68</v>
      </c>
      <c r="J599" s="291">
        <v>0</v>
      </c>
      <c r="K599" s="289" t="s">
        <v>1731</v>
      </c>
      <c r="L599" s="288" t="s">
        <v>1828</v>
      </c>
      <c r="M599" s="288" t="s">
        <v>1829</v>
      </c>
      <c r="N599" s="288" t="s">
        <v>1830</v>
      </c>
      <c r="O599" s="289" t="s">
        <v>1791</v>
      </c>
      <c r="P599" s="292"/>
    </row>
    <row r="600" spans="1:17" hidden="1" x14ac:dyDescent="0.25">
      <c r="A600" s="287" t="s">
        <v>3190</v>
      </c>
      <c r="B600" s="311" t="s">
        <v>3191</v>
      </c>
      <c r="C600" s="305"/>
      <c r="D600" s="288" t="s">
        <v>3192</v>
      </c>
      <c r="E600" s="288" t="s">
        <v>3195</v>
      </c>
      <c r="F600" s="289">
        <v>8000611934</v>
      </c>
      <c r="G600" s="290">
        <v>45386</v>
      </c>
      <c r="H600" s="291">
        <v>773216.4</v>
      </c>
      <c r="I600" s="291">
        <v>773216.4</v>
      </c>
      <c r="J600" s="291">
        <v>-1237831.1599999999</v>
      </c>
      <c r="K600" s="289" t="s">
        <v>1731</v>
      </c>
      <c r="L600" s="288" t="s">
        <v>1773</v>
      </c>
      <c r="M600" s="288" t="s">
        <v>1774</v>
      </c>
      <c r="N600" s="288" t="s">
        <v>1734</v>
      </c>
      <c r="O600" s="289" t="s">
        <v>3194</v>
      </c>
      <c r="P600" s="292"/>
    </row>
    <row r="601" spans="1:17" hidden="1" x14ac:dyDescent="0.25">
      <c r="A601" s="287" t="s">
        <v>3190</v>
      </c>
      <c r="B601" s="311" t="s">
        <v>3191</v>
      </c>
      <c r="C601" s="305"/>
      <c r="D601" s="288" t="s">
        <v>3192</v>
      </c>
      <c r="E601" s="288" t="s">
        <v>3195</v>
      </c>
      <c r="F601" s="289">
        <v>8000611934</v>
      </c>
      <c r="G601" s="290">
        <v>45954</v>
      </c>
      <c r="H601" s="291">
        <v>810593.65</v>
      </c>
      <c r="I601" s="291">
        <v>810593.65</v>
      </c>
      <c r="J601" s="291">
        <v>-1237831.1599999999</v>
      </c>
      <c r="K601" s="289" t="s">
        <v>1731</v>
      </c>
      <c r="L601" s="288" t="s">
        <v>1828</v>
      </c>
      <c r="M601" s="288" t="s">
        <v>1829</v>
      </c>
      <c r="N601" s="288" t="s">
        <v>1830</v>
      </c>
      <c r="O601" s="289" t="s">
        <v>3194</v>
      </c>
      <c r="P601" s="292"/>
    </row>
    <row r="602" spans="1:17" s="364" customFormat="1" ht="75" x14ac:dyDescent="0.25">
      <c r="A602" s="367" t="s">
        <v>3196</v>
      </c>
      <c r="B602" s="373" t="s">
        <v>3197</v>
      </c>
      <c r="C602" s="368" t="s">
        <v>4463</v>
      </c>
      <c r="D602" s="366" t="s">
        <v>3198</v>
      </c>
      <c r="E602" s="366" t="s">
        <v>1012</v>
      </c>
      <c r="F602" s="369">
        <v>8000759238</v>
      </c>
      <c r="G602" s="370">
        <v>45925</v>
      </c>
      <c r="H602" s="371">
        <v>17812243.670000002</v>
      </c>
      <c r="I602" s="371">
        <v>17812243.670000002</v>
      </c>
      <c r="J602" s="371">
        <v>0</v>
      </c>
      <c r="K602" s="369" t="s">
        <v>1731</v>
      </c>
      <c r="L602" s="366" t="s">
        <v>1773</v>
      </c>
      <c r="M602" s="366" t="s">
        <v>1774</v>
      </c>
      <c r="N602" s="366" t="s">
        <v>1734</v>
      </c>
      <c r="O602" s="369" t="s">
        <v>2379</v>
      </c>
      <c r="P602" s="372"/>
      <c r="Q602" s="364">
        <v>1</v>
      </c>
    </row>
    <row r="603" spans="1:17" hidden="1" x14ac:dyDescent="0.25">
      <c r="A603" s="287" t="s">
        <v>3199</v>
      </c>
      <c r="B603" s="311" t="s">
        <v>3200</v>
      </c>
      <c r="C603" s="62"/>
      <c r="D603" s="288" t="s">
        <v>3201</v>
      </c>
      <c r="E603" s="288" t="s">
        <v>3202</v>
      </c>
      <c r="F603" s="289">
        <v>4000231375</v>
      </c>
      <c r="G603" s="290">
        <v>46078</v>
      </c>
      <c r="H603" s="291">
        <v>79604.7</v>
      </c>
      <c r="I603" s="291">
        <v>31867.95</v>
      </c>
      <c r="J603" s="291">
        <v>0</v>
      </c>
      <c r="K603" s="289" t="s">
        <v>1731</v>
      </c>
      <c r="L603" s="288" t="s">
        <v>1754</v>
      </c>
      <c r="M603" s="288" t="s">
        <v>1755</v>
      </c>
      <c r="N603" s="288" t="s">
        <v>1751</v>
      </c>
      <c r="O603" s="289" t="s">
        <v>1787</v>
      </c>
      <c r="P603" s="292"/>
    </row>
    <row r="604" spans="1:17" hidden="1" x14ac:dyDescent="0.25">
      <c r="A604" s="287" t="s">
        <v>3203</v>
      </c>
      <c r="B604" s="311" t="s">
        <v>3204</v>
      </c>
      <c r="C604" s="62"/>
      <c r="D604" s="288" t="s">
        <v>3205</v>
      </c>
      <c r="E604" s="288" t="s">
        <v>3206</v>
      </c>
      <c r="F604" s="289">
        <v>8000645687</v>
      </c>
      <c r="G604" s="290">
        <v>46065</v>
      </c>
      <c r="H604" s="291">
        <v>7793921.8200000003</v>
      </c>
      <c r="I604" s="291">
        <v>7793921.8200000003</v>
      </c>
      <c r="J604" s="291">
        <v>0</v>
      </c>
      <c r="K604" s="289" t="s">
        <v>1731</v>
      </c>
      <c r="L604" s="288" t="s">
        <v>1732</v>
      </c>
      <c r="M604" s="288" t="s">
        <v>1733</v>
      </c>
      <c r="N604" s="288" t="s">
        <v>1734</v>
      </c>
      <c r="O604" s="289" t="s">
        <v>3207</v>
      </c>
      <c r="P604" s="292"/>
    </row>
    <row r="605" spans="1:17" hidden="1" x14ac:dyDescent="0.25">
      <c r="A605" s="287" t="s">
        <v>3208</v>
      </c>
      <c r="B605" s="311" t="s">
        <v>3209</v>
      </c>
      <c r="C605" s="62"/>
      <c r="D605" s="288" t="s">
        <v>3210</v>
      </c>
      <c r="E605" s="288" t="s">
        <v>3211</v>
      </c>
      <c r="F605" s="289">
        <v>8000643825</v>
      </c>
      <c r="G605" s="290">
        <v>45484</v>
      </c>
      <c r="H605" s="291">
        <v>216279.12</v>
      </c>
      <c r="I605" s="291">
        <v>216279.12</v>
      </c>
      <c r="J605" s="291">
        <v>-180232.6</v>
      </c>
      <c r="K605" s="289" t="s">
        <v>1731</v>
      </c>
      <c r="L605" s="288" t="s">
        <v>1773</v>
      </c>
      <c r="M605" s="288" t="s">
        <v>1774</v>
      </c>
      <c r="N605" s="288" t="s">
        <v>1734</v>
      </c>
      <c r="O605" s="289" t="s">
        <v>2836</v>
      </c>
      <c r="P605" s="292"/>
    </row>
    <row r="606" spans="1:17" hidden="1" x14ac:dyDescent="0.25">
      <c r="A606" s="287" t="s">
        <v>3212</v>
      </c>
      <c r="B606" s="311" t="s">
        <v>3213</v>
      </c>
      <c r="C606" s="62"/>
      <c r="D606" s="288" t="s">
        <v>3214</v>
      </c>
      <c r="E606" s="288" t="s">
        <v>1741</v>
      </c>
      <c r="F606" s="289"/>
      <c r="G606" s="290">
        <v>45519</v>
      </c>
      <c r="H606" s="291">
        <v>116204.33</v>
      </c>
      <c r="I606" s="291">
        <v>116204.33</v>
      </c>
      <c r="J606" s="291">
        <v>-620.04999999999995</v>
      </c>
      <c r="K606" s="289" t="s">
        <v>1731</v>
      </c>
      <c r="L606" s="288" t="s">
        <v>1732</v>
      </c>
      <c r="M606" s="288" t="s">
        <v>1733</v>
      </c>
      <c r="N606" s="288" t="s">
        <v>1734</v>
      </c>
      <c r="O606" s="289" t="s">
        <v>1791</v>
      </c>
      <c r="P606" s="292"/>
    </row>
    <row r="607" spans="1:17" hidden="1" x14ac:dyDescent="0.25">
      <c r="A607" s="287" t="s">
        <v>3215</v>
      </c>
      <c r="B607" s="311" t="s">
        <v>3216</v>
      </c>
      <c r="C607" s="62"/>
      <c r="D607" s="288" t="s">
        <v>3217</v>
      </c>
      <c r="E607" s="288" t="s">
        <v>1741</v>
      </c>
      <c r="F607" s="289"/>
      <c r="G607" s="290">
        <v>45576</v>
      </c>
      <c r="H607" s="291">
        <v>27313</v>
      </c>
      <c r="I607" s="291">
        <v>27313</v>
      </c>
      <c r="J607" s="291">
        <v>-27313</v>
      </c>
      <c r="K607" s="289" t="s">
        <v>1731</v>
      </c>
      <c r="L607" s="288" t="s">
        <v>1732</v>
      </c>
      <c r="M607" s="288" t="s">
        <v>1733</v>
      </c>
      <c r="N607" s="288" t="s">
        <v>1734</v>
      </c>
      <c r="O607" s="289" t="s">
        <v>1791</v>
      </c>
      <c r="P607" s="292"/>
    </row>
    <row r="608" spans="1:17" s="364" customFormat="1" ht="60" x14ac:dyDescent="0.25">
      <c r="A608" s="293" t="s">
        <v>3218</v>
      </c>
      <c r="B608" s="312" t="s">
        <v>188</v>
      </c>
      <c r="C608" s="216" t="s">
        <v>1673</v>
      </c>
      <c r="D608" s="294" t="s">
        <v>3219</v>
      </c>
      <c r="E608" s="294" t="s">
        <v>1202</v>
      </c>
      <c r="F608" s="295">
        <v>8000768537</v>
      </c>
      <c r="G608" s="296">
        <v>45946</v>
      </c>
      <c r="H608" s="297">
        <v>3000000</v>
      </c>
      <c r="I608" s="297">
        <v>3000000</v>
      </c>
      <c r="J608" s="297">
        <v>0</v>
      </c>
      <c r="K608" s="295" t="s">
        <v>1731</v>
      </c>
      <c r="L608" s="294" t="s">
        <v>1773</v>
      </c>
      <c r="M608" s="294" t="s">
        <v>1774</v>
      </c>
      <c r="N608" s="294" t="s">
        <v>1734</v>
      </c>
      <c r="O608" s="295" t="s">
        <v>3220</v>
      </c>
      <c r="P608" s="298"/>
      <c r="Q608" s="364">
        <v>1</v>
      </c>
    </row>
    <row r="609" spans="1:17" s="364" customFormat="1" ht="75" x14ac:dyDescent="0.25">
      <c r="A609" s="293" t="s">
        <v>3221</v>
      </c>
      <c r="B609" s="312" t="s">
        <v>3222</v>
      </c>
      <c r="C609" s="216" t="s">
        <v>1650</v>
      </c>
      <c r="D609" s="294" t="s">
        <v>3223</v>
      </c>
      <c r="E609" s="294" t="s">
        <v>247</v>
      </c>
      <c r="F609" s="295">
        <v>8000658832</v>
      </c>
      <c r="G609" s="296">
        <v>45558</v>
      </c>
      <c r="H609" s="297">
        <v>948563.47</v>
      </c>
      <c r="I609" s="297">
        <v>948563.47</v>
      </c>
      <c r="J609" s="297">
        <v>-790469.56</v>
      </c>
      <c r="K609" s="295" t="s">
        <v>1731</v>
      </c>
      <c r="L609" s="294" t="s">
        <v>1773</v>
      </c>
      <c r="M609" s="294" t="s">
        <v>1774</v>
      </c>
      <c r="N609" s="294" t="s">
        <v>1734</v>
      </c>
      <c r="O609" s="295" t="s">
        <v>2020</v>
      </c>
      <c r="P609" s="298"/>
      <c r="Q609" s="364">
        <v>1</v>
      </c>
    </row>
    <row r="610" spans="1:17" hidden="1" x14ac:dyDescent="0.25">
      <c r="A610" s="287" t="s">
        <v>3224</v>
      </c>
      <c r="B610" s="311" t="s">
        <v>3225</v>
      </c>
      <c r="C610" s="62"/>
      <c r="D610" s="288" t="s">
        <v>3226</v>
      </c>
      <c r="E610" s="288" t="s">
        <v>3227</v>
      </c>
      <c r="F610" s="289">
        <v>4000237567</v>
      </c>
      <c r="G610" s="290">
        <v>46078</v>
      </c>
      <c r="H610" s="291">
        <v>92946.47</v>
      </c>
      <c r="I610" s="291">
        <v>36748.769999999997</v>
      </c>
      <c r="J610" s="291">
        <v>0</v>
      </c>
      <c r="K610" s="289" t="s">
        <v>1731</v>
      </c>
      <c r="L610" s="288" t="s">
        <v>1754</v>
      </c>
      <c r="M610" s="288" t="s">
        <v>1755</v>
      </c>
      <c r="N610" s="288" t="s">
        <v>1751</v>
      </c>
      <c r="O610" s="289" t="s">
        <v>1787</v>
      </c>
      <c r="P610" s="292"/>
    </row>
    <row r="611" spans="1:17" hidden="1" x14ac:dyDescent="0.25">
      <c r="A611" s="287" t="s">
        <v>3228</v>
      </c>
      <c r="B611" s="311" t="s">
        <v>3229</v>
      </c>
      <c r="C611" s="62"/>
      <c r="D611" s="288" t="s">
        <v>3230</v>
      </c>
      <c r="E611" s="288" t="s">
        <v>3231</v>
      </c>
      <c r="F611" s="289">
        <v>4000228809</v>
      </c>
      <c r="G611" s="290">
        <v>45657</v>
      </c>
      <c r="H611" s="291">
        <v>216000</v>
      </c>
      <c r="I611" s="291">
        <v>216000</v>
      </c>
      <c r="J611" s="291">
        <v>-215979.12</v>
      </c>
      <c r="K611" s="289" t="s">
        <v>1731</v>
      </c>
      <c r="L611" s="288" t="s">
        <v>1780</v>
      </c>
      <c r="M611" s="288" t="s">
        <v>1781</v>
      </c>
      <c r="N611" s="288" t="s">
        <v>1751</v>
      </c>
      <c r="O611" s="289" t="s">
        <v>1737</v>
      </c>
      <c r="P611" s="292"/>
    </row>
    <row r="612" spans="1:17" hidden="1" x14ac:dyDescent="0.25">
      <c r="A612" s="287" t="s">
        <v>3228</v>
      </c>
      <c r="B612" s="311" t="s">
        <v>3229</v>
      </c>
      <c r="C612" s="62"/>
      <c r="D612" s="288" t="s">
        <v>3230</v>
      </c>
      <c r="E612" s="288" t="s">
        <v>3232</v>
      </c>
      <c r="F612" s="289">
        <v>4000228812</v>
      </c>
      <c r="G612" s="290">
        <v>45565</v>
      </c>
      <c r="H612" s="291">
        <v>145446</v>
      </c>
      <c r="I612" s="291">
        <v>145446</v>
      </c>
      <c r="J612" s="291">
        <v>-145446</v>
      </c>
      <c r="K612" s="289" t="s">
        <v>1731</v>
      </c>
      <c r="L612" s="288" t="s">
        <v>1754</v>
      </c>
      <c r="M612" s="288" t="s">
        <v>1755</v>
      </c>
      <c r="N612" s="288" t="s">
        <v>1751</v>
      </c>
      <c r="O612" s="289" t="s">
        <v>2129</v>
      </c>
      <c r="P612" s="292"/>
    </row>
    <row r="613" spans="1:17" hidden="1" x14ac:dyDescent="0.25">
      <c r="A613" s="287" t="s">
        <v>3233</v>
      </c>
      <c r="B613" s="311" t="s">
        <v>3234</v>
      </c>
      <c r="C613" s="62"/>
      <c r="D613" s="288" t="s">
        <v>3235</v>
      </c>
      <c r="E613" s="288"/>
      <c r="F613" s="289"/>
      <c r="G613" s="290">
        <v>45671</v>
      </c>
      <c r="H613" s="291">
        <v>100000</v>
      </c>
      <c r="I613" s="291">
        <v>100000</v>
      </c>
      <c r="J613" s="291">
        <v>-100000</v>
      </c>
      <c r="K613" s="289" t="s">
        <v>1731</v>
      </c>
      <c r="L613" s="288" t="s">
        <v>1773</v>
      </c>
      <c r="M613" s="288" t="s">
        <v>1774</v>
      </c>
      <c r="N613" s="288" t="s">
        <v>1734</v>
      </c>
      <c r="O613" s="289" t="s">
        <v>1791</v>
      </c>
      <c r="P613" s="292"/>
    </row>
    <row r="614" spans="1:17" hidden="1" x14ac:dyDescent="0.25">
      <c r="A614" s="287" t="s">
        <v>3233</v>
      </c>
      <c r="B614" s="311" t="s">
        <v>3234</v>
      </c>
      <c r="C614" s="62"/>
      <c r="D614" s="288" t="s">
        <v>3235</v>
      </c>
      <c r="E614" s="288" t="s">
        <v>1741</v>
      </c>
      <c r="F614" s="289"/>
      <c r="G614" s="290">
        <v>45722</v>
      </c>
      <c r="H614" s="291">
        <v>235000</v>
      </c>
      <c r="I614" s="291">
        <v>235000</v>
      </c>
      <c r="J614" s="291">
        <v>-235000</v>
      </c>
      <c r="K614" s="289" t="s">
        <v>1731</v>
      </c>
      <c r="L614" s="288" t="s">
        <v>1773</v>
      </c>
      <c r="M614" s="288" t="s">
        <v>1774</v>
      </c>
      <c r="N614" s="288" t="s">
        <v>1734</v>
      </c>
      <c r="O614" s="289" t="s">
        <v>1791</v>
      </c>
      <c r="P614" s="292"/>
    </row>
    <row r="615" spans="1:17" hidden="1" x14ac:dyDescent="0.25">
      <c r="A615" s="287" t="s">
        <v>3236</v>
      </c>
      <c r="B615" s="311" t="s">
        <v>3237</v>
      </c>
      <c r="C615" s="62"/>
      <c r="D615" s="288" t="s">
        <v>3238</v>
      </c>
      <c r="E615" s="288" t="s">
        <v>1741</v>
      </c>
      <c r="F615" s="289">
        <v>8701759425</v>
      </c>
      <c r="G615" s="290">
        <v>46065</v>
      </c>
      <c r="H615" s="291">
        <v>93450</v>
      </c>
      <c r="I615" s="291">
        <v>93450</v>
      </c>
      <c r="J615" s="291">
        <v>0</v>
      </c>
      <c r="K615" s="289" t="s">
        <v>1731</v>
      </c>
      <c r="L615" s="288" t="s">
        <v>1732</v>
      </c>
      <c r="M615" s="288" t="s">
        <v>1733</v>
      </c>
      <c r="N615" s="288" t="s">
        <v>1734</v>
      </c>
      <c r="O615" s="289" t="s">
        <v>2719</v>
      </c>
      <c r="P615" s="292"/>
    </row>
    <row r="616" spans="1:17" hidden="1" x14ac:dyDescent="0.25">
      <c r="A616" s="287" t="s">
        <v>3236</v>
      </c>
      <c r="B616" s="311" t="s">
        <v>3237</v>
      </c>
      <c r="C616" s="62"/>
      <c r="D616" s="288" t="s">
        <v>3238</v>
      </c>
      <c r="E616" s="288" t="s">
        <v>1741</v>
      </c>
      <c r="F616" s="289">
        <v>8701697028</v>
      </c>
      <c r="G616" s="290">
        <v>46002</v>
      </c>
      <c r="H616" s="291">
        <v>17568</v>
      </c>
      <c r="I616" s="291">
        <v>17568</v>
      </c>
      <c r="J616" s="291">
        <v>0</v>
      </c>
      <c r="K616" s="289" t="s">
        <v>1731</v>
      </c>
      <c r="L616" s="288" t="s">
        <v>1732</v>
      </c>
      <c r="M616" s="288" t="s">
        <v>1733</v>
      </c>
      <c r="N616" s="288" t="s">
        <v>1734</v>
      </c>
      <c r="O616" s="289" t="s">
        <v>2719</v>
      </c>
      <c r="P616" s="292"/>
    </row>
    <row r="617" spans="1:17" hidden="1" x14ac:dyDescent="0.25">
      <c r="A617" s="287" t="s">
        <v>3239</v>
      </c>
      <c r="B617" s="311" t="s">
        <v>3240</v>
      </c>
      <c r="C617" s="62"/>
      <c r="D617" s="288" t="s">
        <v>3241</v>
      </c>
      <c r="E617" s="288" t="s">
        <v>3242</v>
      </c>
      <c r="F617" s="289">
        <v>4000228801</v>
      </c>
      <c r="G617" s="290">
        <v>45382</v>
      </c>
      <c r="H617" s="291">
        <v>286511.61</v>
      </c>
      <c r="I617" s="291">
        <v>286511.61</v>
      </c>
      <c r="J617" s="291">
        <v>-286511.61</v>
      </c>
      <c r="K617" s="289" t="s">
        <v>1731</v>
      </c>
      <c r="L617" s="288" t="s">
        <v>1754</v>
      </c>
      <c r="M617" s="288" t="s">
        <v>1755</v>
      </c>
      <c r="N617" s="288" t="s">
        <v>1751</v>
      </c>
      <c r="O617" s="289" t="s">
        <v>1791</v>
      </c>
      <c r="P617" s="292"/>
    </row>
    <row r="618" spans="1:17" hidden="1" x14ac:dyDescent="0.25">
      <c r="A618" s="287" t="s">
        <v>3243</v>
      </c>
      <c r="B618" s="311" t="s">
        <v>3244</v>
      </c>
      <c r="C618" s="62"/>
      <c r="D618" s="288" t="s">
        <v>3245</v>
      </c>
      <c r="E618" s="288" t="s">
        <v>3246</v>
      </c>
      <c r="F618" s="289">
        <v>4000228800</v>
      </c>
      <c r="G618" s="290">
        <v>45382</v>
      </c>
      <c r="H618" s="291">
        <v>69535.02</v>
      </c>
      <c r="I618" s="291">
        <v>69535.02</v>
      </c>
      <c r="J618" s="291">
        <v>-69535.02</v>
      </c>
      <c r="K618" s="289" t="s">
        <v>1731</v>
      </c>
      <c r="L618" s="288" t="s">
        <v>1754</v>
      </c>
      <c r="M618" s="288" t="s">
        <v>1755</v>
      </c>
      <c r="N618" s="288" t="s">
        <v>1751</v>
      </c>
      <c r="O618" s="289" t="s">
        <v>1791</v>
      </c>
      <c r="P618" s="292"/>
    </row>
    <row r="619" spans="1:17" hidden="1" x14ac:dyDescent="0.25">
      <c r="A619" s="287" t="s">
        <v>3247</v>
      </c>
      <c r="B619" s="311" t="s">
        <v>3248</v>
      </c>
      <c r="C619" s="62"/>
      <c r="D619" s="288" t="s">
        <v>3249</v>
      </c>
      <c r="E619" s="288" t="s">
        <v>3250</v>
      </c>
      <c r="F619" s="289"/>
      <c r="G619" s="290">
        <v>45567</v>
      </c>
      <c r="H619" s="291">
        <v>416666</v>
      </c>
      <c r="I619" s="291">
        <v>416666</v>
      </c>
      <c r="J619" s="291">
        <v>-245002</v>
      </c>
      <c r="K619" s="289" t="s">
        <v>1731</v>
      </c>
      <c r="L619" s="288" t="s">
        <v>1839</v>
      </c>
      <c r="M619" s="288" t="s">
        <v>1840</v>
      </c>
      <c r="N619" s="288" t="s">
        <v>1841</v>
      </c>
      <c r="O619" s="289" t="s">
        <v>1791</v>
      </c>
      <c r="P619" s="292"/>
    </row>
    <row r="620" spans="1:17" hidden="1" x14ac:dyDescent="0.25">
      <c r="A620" s="287" t="s">
        <v>3251</v>
      </c>
      <c r="B620" s="311" t="s">
        <v>3252</v>
      </c>
      <c r="C620" s="62"/>
      <c r="D620" s="288" t="s">
        <v>3253</v>
      </c>
      <c r="E620" s="288" t="s">
        <v>3254</v>
      </c>
      <c r="F620" s="289"/>
      <c r="G620" s="290">
        <v>45382</v>
      </c>
      <c r="H620" s="291">
        <v>417209.97</v>
      </c>
      <c r="I620" s="291">
        <v>417209.97</v>
      </c>
      <c r="J620" s="291">
        <v>-417209.97</v>
      </c>
      <c r="K620" s="289" t="s">
        <v>1731</v>
      </c>
      <c r="L620" s="288" t="s">
        <v>1754</v>
      </c>
      <c r="M620" s="288" t="s">
        <v>1755</v>
      </c>
      <c r="N620" s="288" t="s">
        <v>1751</v>
      </c>
      <c r="O620" s="289" t="s">
        <v>1791</v>
      </c>
      <c r="P620" s="292"/>
    </row>
    <row r="621" spans="1:17" hidden="1" x14ac:dyDescent="0.25">
      <c r="A621" s="287" t="s">
        <v>3255</v>
      </c>
      <c r="B621" s="311" t="s">
        <v>3256</v>
      </c>
      <c r="C621" s="62"/>
      <c r="D621" s="288" t="s">
        <v>3257</v>
      </c>
      <c r="E621" s="288" t="s">
        <v>3258</v>
      </c>
      <c r="F621" s="289"/>
      <c r="G621" s="290">
        <v>45747</v>
      </c>
      <c r="H621" s="291">
        <v>1166761.6499999999</v>
      </c>
      <c r="I621" s="291">
        <v>1166761.6499999999</v>
      </c>
      <c r="J621" s="291">
        <v>-1166761.6499999999</v>
      </c>
      <c r="K621" s="289" t="s">
        <v>1731</v>
      </c>
      <c r="L621" s="288" t="s">
        <v>1773</v>
      </c>
      <c r="M621" s="288" t="s">
        <v>1774</v>
      </c>
      <c r="N621" s="288" t="s">
        <v>1734</v>
      </c>
      <c r="O621" s="289" t="s">
        <v>1791</v>
      </c>
      <c r="P621" s="292"/>
    </row>
    <row r="622" spans="1:17" hidden="1" x14ac:dyDescent="0.25">
      <c r="A622" s="287" t="s">
        <v>3255</v>
      </c>
      <c r="B622" s="311" t="s">
        <v>3256</v>
      </c>
      <c r="C622" s="62"/>
      <c r="D622" s="288" t="s">
        <v>3257</v>
      </c>
      <c r="E622" s="288" t="s">
        <v>3259</v>
      </c>
      <c r="F622" s="289">
        <v>8000727571</v>
      </c>
      <c r="G622" s="290">
        <v>45747</v>
      </c>
      <c r="H622" s="291">
        <v>159865.84</v>
      </c>
      <c r="I622" s="291">
        <v>159865.84</v>
      </c>
      <c r="J622" s="291">
        <v>-159865.84</v>
      </c>
      <c r="K622" s="289" t="s">
        <v>1731</v>
      </c>
      <c r="L622" s="288" t="s">
        <v>1773</v>
      </c>
      <c r="M622" s="288" t="s">
        <v>1774</v>
      </c>
      <c r="N622" s="288" t="s">
        <v>1734</v>
      </c>
      <c r="O622" s="289" t="s">
        <v>3260</v>
      </c>
      <c r="P622" s="292"/>
    </row>
    <row r="623" spans="1:17" hidden="1" x14ac:dyDescent="0.25">
      <c r="A623" s="287" t="s">
        <v>3255</v>
      </c>
      <c r="B623" s="311" t="s">
        <v>3256</v>
      </c>
      <c r="C623" s="62"/>
      <c r="D623" s="288" t="s">
        <v>3257</v>
      </c>
      <c r="E623" s="288" t="s">
        <v>3261</v>
      </c>
      <c r="F623" s="289">
        <v>4000228797</v>
      </c>
      <c r="G623" s="290">
        <v>45473</v>
      </c>
      <c r="H623" s="291">
        <v>1012707.96</v>
      </c>
      <c r="I623" s="291">
        <v>1012707.96</v>
      </c>
      <c r="J623" s="291">
        <v>-616580.16</v>
      </c>
      <c r="K623" s="289" t="s">
        <v>1731</v>
      </c>
      <c r="L623" s="288" t="s">
        <v>1754</v>
      </c>
      <c r="M623" s="288" t="s">
        <v>1755</v>
      </c>
      <c r="N623" s="288" t="s">
        <v>1751</v>
      </c>
      <c r="O623" s="289" t="s">
        <v>3262</v>
      </c>
      <c r="P623" s="292"/>
    </row>
    <row r="624" spans="1:17" hidden="1" x14ac:dyDescent="0.25">
      <c r="A624" s="287" t="s">
        <v>3255</v>
      </c>
      <c r="B624" s="311" t="s">
        <v>3256</v>
      </c>
      <c r="C624" s="62"/>
      <c r="D624" s="288" t="s">
        <v>3257</v>
      </c>
      <c r="E624" s="288" t="s">
        <v>3263</v>
      </c>
      <c r="F624" s="289">
        <v>8000725702</v>
      </c>
      <c r="G624" s="290">
        <v>45565</v>
      </c>
      <c r="H624" s="291">
        <v>80330</v>
      </c>
      <c r="I624" s="291">
        <v>80330</v>
      </c>
      <c r="J624" s="291">
        <v>-143854</v>
      </c>
      <c r="K624" s="289" t="s">
        <v>1731</v>
      </c>
      <c r="L624" s="288" t="s">
        <v>1732</v>
      </c>
      <c r="M624" s="288" t="s">
        <v>1733</v>
      </c>
      <c r="N624" s="288" t="s">
        <v>1734</v>
      </c>
      <c r="O624" s="289" t="s">
        <v>3262</v>
      </c>
      <c r="P624" s="292"/>
    </row>
    <row r="625" spans="1:16" hidden="1" x14ac:dyDescent="0.25">
      <c r="A625" s="287" t="s">
        <v>3255</v>
      </c>
      <c r="B625" s="311" t="s">
        <v>3256</v>
      </c>
      <c r="C625" s="62"/>
      <c r="D625" s="288" t="s">
        <v>3257</v>
      </c>
      <c r="E625" s="288" t="s">
        <v>3263</v>
      </c>
      <c r="F625" s="289">
        <v>8000725702</v>
      </c>
      <c r="G625" s="290">
        <v>45462</v>
      </c>
      <c r="H625" s="291">
        <v>63524</v>
      </c>
      <c r="I625" s="291">
        <v>63524</v>
      </c>
      <c r="J625" s="291">
        <v>-143854</v>
      </c>
      <c r="K625" s="289" t="s">
        <v>1731</v>
      </c>
      <c r="L625" s="288" t="s">
        <v>2706</v>
      </c>
      <c r="M625" s="288" t="s">
        <v>2707</v>
      </c>
      <c r="N625" s="288" t="s">
        <v>1830</v>
      </c>
      <c r="O625" s="289" t="s">
        <v>3262</v>
      </c>
      <c r="P625" s="292"/>
    </row>
    <row r="626" spans="1:16" hidden="1" x14ac:dyDescent="0.25">
      <c r="A626" s="287" t="s">
        <v>3264</v>
      </c>
      <c r="B626" s="311" t="s">
        <v>3265</v>
      </c>
      <c r="C626" s="62"/>
      <c r="D626" s="288" t="s">
        <v>3266</v>
      </c>
      <c r="E626" s="288" t="s">
        <v>3267</v>
      </c>
      <c r="F626" s="289">
        <v>8000725972</v>
      </c>
      <c r="G626" s="290">
        <v>45471</v>
      </c>
      <c r="H626" s="291">
        <v>430958</v>
      </c>
      <c r="I626" s="291">
        <v>430958</v>
      </c>
      <c r="J626" s="291">
        <v>0</v>
      </c>
      <c r="K626" s="289" t="s">
        <v>1731</v>
      </c>
      <c r="L626" s="288" t="s">
        <v>2706</v>
      </c>
      <c r="M626" s="288" t="s">
        <v>2707</v>
      </c>
      <c r="N626" s="288" t="s">
        <v>1830</v>
      </c>
      <c r="O626" s="289" t="s">
        <v>2439</v>
      </c>
      <c r="P626" s="292"/>
    </row>
    <row r="627" spans="1:16" hidden="1" x14ac:dyDescent="0.25">
      <c r="A627" s="287" t="s">
        <v>3268</v>
      </c>
      <c r="B627" s="311" t="s">
        <v>3269</v>
      </c>
      <c r="C627" s="62"/>
      <c r="D627" s="288" t="s">
        <v>3270</v>
      </c>
      <c r="E627" s="288" t="s">
        <v>3271</v>
      </c>
      <c r="F627" s="289">
        <v>8000726012</v>
      </c>
      <c r="G627" s="290">
        <v>45427</v>
      </c>
      <c r="H627" s="291">
        <v>62700</v>
      </c>
      <c r="I627" s="291">
        <v>62700</v>
      </c>
      <c r="J627" s="291">
        <v>-62700</v>
      </c>
      <c r="K627" s="289" t="s">
        <v>1731</v>
      </c>
      <c r="L627" s="288" t="s">
        <v>1773</v>
      </c>
      <c r="M627" s="288" t="s">
        <v>1774</v>
      </c>
      <c r="N627" s="288" t="s">
        <v>1734</v>
      </c>
      <c r="O627" s="289" t="s">
        <v>1964</v>
      </c>
      <c r="P627" s="292"/>
    </row>
    <row r="628" spans="1:16" hidden="1" x14ac:dyDescent="0.25">
      <c r="A628" s="287" t="s">
        <v>3272</v>
      </c>
      <c r="B628" s="311" t="s">
        <v>3273</v>
      </c>
      <c r="C628" s="62"/>
      <c r="D628" s="288" t="s">
        <v>3274</v>
      </c>
      <c r="E628" s="288" t="s">
        <v>1741</v>
      </c>
      <c r="F628" s="289"/>
      <c r="G628" s="290">
        <v>45449</v>
      </c>
      <c r="H628" s="291">
        <v>11700</v>
      </c>
      <c r="I628" s="291">
        <v>11700</v>
      </c>
      <c r="J628" s="291">
        <v>-11700</v>
      </c>
      <c r="K628" s="289" t="s">
        <v>1731</v>
      </c>
      <c r="L628" s="288" t="s">
        <v>1773</v>
      </c>
      <c r="M628" s="288" t="s">
        <v>1774</v>
      </c>
      <c r="N628" s="288" t="s">
        <v>1734</v>
      </c>
      <c r="O628" s="289" t="s">
        <v>1791</v>
      </c>
      <c r="P628" s="292"/>
    </row>
    <row r="629" spans="1:16" hidden="1" x14ac:dyDescent="0.25">
      <c r="A629" s="287" t="s">
        <v>3275</v>
      </c>
      <c r="B629" s="311" t="s">
        <v>3276</v>
      </c>
      <c r="C629" s="62"/>
      <c r="D629" s="288" t="s">
        <v>3277</v>
      </c>
      <c r="E629" s="288" t="s">
        <v>3278</v>
      </c>
      <c r="F629" s="289">
        <v>8000725977</v>
      </c>
      <c r="G629" s="290">
        <v>45436</v>
      </c>
      <c r="H629" s="291">
        <v>331956</v>
      </c>
      <c r="I629" s="291">
        <v>331956</v>
      </c>
      <c r="J629" s="291">
        <v>-331956</v>
      </c>
      <c r="K629" s="289" t="s">
        <v>1731</v>
      </c>
      <c r="L629" s="288" t="s">
        <v>1773</v>
      </c>
      <c r="M629" s="288" t="s">
        <v>1774</v>
      </c>
      <c r="N629" s="288" t="s">
        <v>1734</v>
      </c>
      <c r="O629" s="289" t="s">
        <v>3279</v>
      </c>
      <c r="P629" s="292"/>
    </row>
    <row r="630" spans="1:16" hidden="1" x14ac:dyDescent="0.25">
      <c r="A630" s="287" t="s">
        <v>3280</v>
      </c>
      <c r="B630" s="311" t="s">
        <v>3281</v>
      </c>
      <c r="C630" s="62"/>
      <c r="D630" s="288" t="s">
        <v>3282</v>
      </c>
      <c r="E630" s="288" t="s">
        <v>3283</v>
      </c>
      <c r="F630" s="289">
        <v>4000228798</v>
      </c>
      <c r="G630" s="290">
        <v>45657</v>
      </c>
      <c r="H630" s="291">
        <v>14792312.49</v>
      </c>
      <c r="I630" s="291">
        <v>14792312.49</v>
      </c>
      <c r="J630" s="291">
        <v>-14792312.49</v>
      </c>
      <c r="K630" s="289" t="s">
        <v>1731</v>
      </c>
      <c r="L630" s="288" t="s">
        <v>1754</v>
      </c>
      <c r="M630" s="288" t="s">
        <v>1755</v>
      </c>
      <c r="N630" s="288" t="s">
        <v>1751</v>
      </c>
      <c r="O630" s="289" t="s">
        <v>1791</v>
      </c>
      <c r="P630" s="292"/>
    </row>
    <row r="631" spans="1:16" hidden="1" x14ac:dyDescent="0.25">
      <c r="A631" s="287" t="s">
        <v>3284</v>
      </c>
      <c r="B631" s="311" t="s">
        <v>3285</v>
      </c>
      <c r="C631" s="62"/>
      <c r="D631" s="288" t="s">
        <v>3286</v>
      </c>
      <c r="E631" s="288" t="s">
        <v>3287</v>
      </c>
      <c r="F631" s="289"/>
      <c r="G631" s="290">
        <v>45572</v>
      </c>
      <c r="H631" s="291">
        <v>7570237</v>
      </c>
      <c r="I631" s="291">
        <v>7570237</v>
      </c>
      <c r="J631" s="291">
        <v>-6862018.5</v>
      </c>
      <c r="K631" s="289" t="s">
        <v>1731</v>
      </c>
      <c r="L631" s="288" t="s">
        <v>1732</v>
      </c>
      <c r="M631" s="288" t="s">
        <v>1733</v>
      </c>
      <c r="N631" s="288" t="s">
        <v>1734</v>
      </c>
      <c r="O631" s="289" t="s">
        <v>1791</v>
      </c>
      <c r="P631" s="292"/>
    </row>
    <row r="632" spans="1:16" hidden="1" x14ac:dyDescent="0.25">
      <c r="A632" s="287" t="s">
        <v>3284</v>
      </c>
      <c r="B632" s="311" t="s">
        <v>3285</v>
      </c>
      <c r="C632" s="62"/>
      <c r="D632" s="288" t="s">
        <v>3286</v>
      </c>
      <c r="E632" s="288" t="s">
        <v>1741</v>
      </c>
      <c r="F632" s="289"/>
      <c r="G632" s="290">
        <v>45573</v>
      </c>
      <c r="H632" s="291">
        <v>707926</v>
      </c>
      <c r="I632" s="291">
        <v>707926</v>
      </c>
      <c r="J632" s="291">
        <v>-707926</v>
      </c>
      <c r="K632" s="289" t="s">
        <v>1731</v>
      </c>
      <c r="L632" s="288" t="s">
        <v>1732</v>
      </c>
      <c r="M632" s="288" t="s">
        <v>1733</v>
      </c>
      <c r="N632" s="288" t="s">
        <v>1734</v>
      </c>
      <c r="O632" s="289" t="s">
        <v>1791</v>
      </c>
      <c r="P632" s="292"/>
    </row>
    <row r="633" spans="1:16" hidden="1" x14ac:dyDescent="0.25">
      <c r="A633" s="287" t="s">
        <v>3288</v>
      </c>
      <c r="B633" s="311" t="s">
        <v>3289</v>
      </c>
      <c r="C633" s="62"/>
      <c r="D633" s="288" t="s">
        <v>3290</v>
      </c>
      <c r="E633" s="288" t="s">
        <v>3291</v>
      </c>
      <c r="F633" s="289">
        <v>4000243730</v>
      </c>
      <c r="G633" s="290">
        <v>46078</v>
      </c>
      <c r="H633" s="291">
        <v>20643.37</v>
      </c>
      <c r="I633" s="291">
        <v>0</v>
      </c>
      <c r="J633" s="291">
        <v>0</v>
      </c>
      <c r="K633" s="289" t="s">
        <v>1731</v>
      </c>
      <c r="L633" s="288" t="s">
        <v>1754</v>
      </c>
      <c r="M633" s="288" t="s">
        <v>1755</v>
      </c>
      <c r="N633" s="288" t="s">
        <v>1751</v>
      </c>
      <c r="O633" s="289" t="s">
        <v>1787</v>
      </c>
      <c r="P633" s="292"/>
    </row>
    <row r="634" spans="1:16" hidden="1" x14ac:dyDescent="0.25">
      <c r="A634" s="287" t="s">
        <v>3292</v>
      </c>
      <c r="B634" s="311" t="s">
        <v>1267</v>
      </c>
      <c r="C634" s="62"/>
      <c r="D634" s="288" t="s">
        <v>3293</v>
      </c>
      <c r="E634" s="288" t="s">
        <v>3294</v>
      </c>
      <c r="F634" s="289">
        <v>8000768758</v>
      </c>
      <c r="G634" s="290">
        <v>45960</v>
      </c>
      <c r="H634" s="291">
        <v>5000000</v>
      </c>
      <c r="I634" s="291">
        <v>5000000</v>
      </c>
      <c r="J634" s="291">
        <v>0</v>
      </c>
      <c r="K634" s="289" t="s">
        <v>1731</v>
      </c>
      <c r="L634" s="288" t="s">
        <v>1773</v>
      </c>
      <c r="M634" s="288" t="s">
        <v>1774</v>
      </c>
      <c r="N634" s="288" t="s">
        <v>1734</v>
      </c>
      <c r="O634" s="289" t="s">
        <v>3220</v>
      </c>
      <c r="P634" s="292"/>
    </row>
    <row r="635" spans="1:16" hidden="1" x14ac:dyDescent="0.25">
      <c r="A635" s="287" t="s">
        <v>3292</v>
      </c>
      <c r="B635" s="311" t="s">
        <v>1267</v>
      </c>
      <c r="C635" s="62"/>
      <c r="D635" s="288" t="s">
        <v>3293</v>
      </c>
      <c r="E635" s="288" t="s">
        <v>3294</v>
      </c>
      <c r="F635" s="289">
        <v>8000768758</v>
      </c>
      <c r="G635" s="290">
        <v>46002</v>
      </c>
      <c r="H635" s="291">
        <v>300000</v>
      </c>
      <c r="I635" s="291">
        <v>300000</v>
      </c>
      <c r="J635" s="291">
        <v>0</v>
      </c>
      <c r="K635" s="289" t="s">
        <v>1731</v>
      </c>
      <c r="L635" s="288" t="s">
        <v>1828</v>
      </c>
      <c r="M635" s="288" t="s">
        <v>1829</v>
      </c>
      <c r="N635" s="288" t="s">
        <v>1830</v>
      </c>
      <c r="O635" s="289" t="s">
        <v>3220</v>
      </c>
      <c r="P635" s="292"/>
    </row>
    <row r="636" spans="1:16" hidden="1" x14ac:dyDescent="0.25">
      <c r="A636" s="287" t="s">
        <v>3295</v>
      </c>
      <c r="B636" s="311" t="s">
        <v>3296</v>
      </c>
      <c r="C636" s="62"/>
      <c r="D636" s="288" t="s">
        <v>3297</v>
      </c>
      <c r="E636" s="288" t="s">
        <v>3298</v>
      </c>
      <c r="F636" s="289"/>
      <c r="G636" s="290">
        <v>45524</v>
      </c>
      <c r="H636" s="291">
        <v>245713</v>
      </c>
      <c r="I636" s="291">
        <v>245713</v>
      </c>
      <c r="J636" s="291">
        <v>-245713</v>
      </c>
      <c r="K636" s="289" t="s">
        <v>1731</v>
      </c>
      <c r="L636" s="288" t="s">
        <v>1732</v>
      </c>
      <c r="M636" s="288" t="s">
        <v>1733</v>
      </c>
      <c r="N636" s="288" t="s">
        <v>1734</v>
      </c>
      <c r="O636" s="289" t="s">
        <v>1791</v>
      </c>
      <c r="P636" s="292"/>
    </row>
    <row r="637" spans="1:16" hidden="1" x14ac:dyDescent="0.25">
      <c r="A637" s="287" t="s">
        <v>3299</v>
      </c>
      <c r="B637" s="311" t="s">
        <v>3300</v>
      </c>
      <c r="C637" s="62"/>
      <c r="D637" s="288" t="s">
        <v>3301</v>
      </c>
      <c r="E637" s="288" t="s">
        <v>3302</v>
      </c>
      <c r="F637" s="289">
        <v>8000750672</v>
      </c>
      <c r="G637" s="290">
        <v>46072</v>
      </c>
      <c r="H637" s="291">
        <v>579639</v>
      </c>
      <c r="I637" s="291">
        <v>0</v>
      </c>
      <c r="J637" s="291">
        <v>0</v>
      </c>
      <c r="K637" s="289" t="s">
        <v>1731</v>
      </c>
      <c r="L637" s="288" t="s">
        <v>2164</v>
      </c>
      <c r="M637" s="288" t="s">
        <v>2165</v>
      </c>
      <c r="N637" s="288" t="s">
        <v>1734</v>
      </c>
      <c r="O637" s="289" t="s">
        <v>1737</v>
      </c>
      <c r="P637" s="292"/>
    </row>
    <row r="638" spans="1:16" hidden="1" x14ac:dyDescent="0.25">
      <c r="A638" s="287" t="s">
        <v>3299</v>
      </c>
      <c r="B638" s="311" t="s">
        <v>3300</v>
      </c>
      <c r="C638" s="62"/>
      <c r="D638" s="288" t="s">
        <v>3301</v>
      </c>
      <c r="E638" s="288" t="s">
        <v>3303</v>
      </c>
      <c r="F638" s="289">
        <v>8000725577</v>
      </c>
      <c r="G638" s="290">
        <v>45673</v>
      </c>
      <c r="H638" s="291">
        <v>0.5</v>
      </c>
      <c r="I638" s="291">
        <v>0.5</v>
      </c>
      <c r="J638" s="291">
        <v>-0.5</v>
      </c>
      <c r="K638" s="289" t="s">
        <v>1731</v>
      </c>
      <c r="L638" s="288" t="s">
        <v>2164</v>
      </c>
      <c r="M638" s="288" t="s">
        <v>2165</v>
      </c>
      <c r="N638" s="288" t="s">
        <v>1734</v>
      </c>
      <c r="O638" s="289" t="s">
        <v>2653</v>
      </c>
      <c r="P638" s="292"/>
    </row>
    <row r="639" spans="1:16" hidden="1" x14ac:dyDescent="0.25">
      <c r="A639" s="287" t="s">
        <v>3299</v>
      </c>
      <c r="B639" s="311" t="s">
        <v>3300</v>
      </c>
      <c r="C639" s="62"/>
      <c r="D639" s="288" t="s">
        <v>3301</v>
      </c>
      <c r="E639" s="288" t="s">
        <v>3304</v>
      </c>
      <c r="F639" s="289">
        <v>8000725763</v>
      </c>
      <c r="G639" s="290">
        <v>46044</v>
      </c>
      <c r="H639" s="291">
        <v>39000</v>
      </c>
      <c r="I639" s="291">
        <v>39000</v>
      </c>
      <c r="J639" s="291">
        <v>0</v>
      </c>
      <c r="K639" s="289" t="s">
        <v>1731</v>
      </c>
      <c r="L639" s="288" t="s">
        <v>1773</v>
      </c>
      <c r="M639" s="288" t="s">
        <v>1774</v>
      </c>
      <c r="N639" s="288" t="s">
        <v>1734</v>
      </c>
      <c r="O639" s="289" t="s">
        <v>1737</v>
      </c>
      <c r="P639" s="292"/>
    </row>
    <row r="640" spans="1:16" hidden="1" x14ac:dyDescent="0.25">
      <c r="A640" s="287" t="s">
        <v>3305</v>
      </c>
      <c r="B640" s="311" t="s">
        <v>3306</v>
      </c>
      <c r="C640" s="62"/>
      <c r="D640" s="288" t="s">
        <v>3307</v>
      </c>
      <c r="E640" s="288" t="s">
        <v>3308</v>
      </c>
      <c r="F640" s="289">
        <v>8000764777</v>
      </c>
      <c r="G640" s="290">
        <v>45908</v>
      </c>
      <c r="H640" s="291">
        <v>275000</v>
      </c>
      <c r="I640" s="291">
        <v>275000</v>
      </c>
      <c r="J640" s="291">
        <v>0</v>
      </c>
      <c r="K640" s="289" t="s">
        <v>1731</v>
      </c>
      <c r="L640" s="288" t="s">
        <v>1839</v>
      </c>
      <c r="M640" s="288" t="s">
        <v>1840</v>
      </c>
      <c r="N640" s="288" t="s">
        <v>1841</v>
      </c>
      <c r="O640" s="289" t="s">
        <v>3309</v>
      </c>
      <c r="P640" s="292"/>
    </row>
    <row r="641" spans="1:16" hidden="1" x14ac:dyDescent="0.25">
      <c r="A641" s="287" t="s">
        <v>3310</v>
      </c>
      <c r="B641" s="311" t="s">
        <v>3311</v>
      </c>
      <c r="C641" s="62"/>
      <c r="D641" s="288" t="s">
        <v>3312</v>
      </c>
      <c r="E641" s="288"/>
      <c r="F641" s="289">
        <v>8701725428</v>
      </c>
      <c r="G641" s="290">
        <v>46016</v>
      </c>
      <c r="H641" s="291">
        <v>86500</v>
      </c>
      <c r="I641" s="291">
        <v>0</v>
      </c>
      <c r="J641" s="291">
        <v>0</v>
      </c>
      <c r="K641" s="289" t="s">
        <v>1731</v>
      </c>
      <c r="L641" s="288" t="s">
        <v>1732</v>
      </c>
      <c r="M641" s="288" t="s">
        <v>1733</v>
      </c>
      <c r="N641" s="288" t="s">
        <v>1734</v>
      </c>
      <c r="O641" s="289" t="s">
        <v>2072</v>
      </c>
      <c r="P641" s="292"/>
    </row>
    <row r="642" spans="1:16" hidden="1" x14ac:dyDescent="0.25">
      <c r="A642" s="287" t="s">
        <v>3313</v>
      </c>
      <c r="B642" s="311" t="s">
        <v>3314</v>
      </c>
      <c r="C642" s="62"/>
      <c r="D642" s="288" t="s">
        <v>3315</v>
      </c>
      <c r="E642" s="288"/>
      <c r="F642" s="289">
        <v>8701754007</v>
      </c>
      <c r="G642" s="290">
        <v>46065</v>
      </c>
      <c r="H642" s="291">
        <v>2562</v>
      </c>
      <c r="I642" s="291">
        <v>0</v>
      </c>
      <c r="J642" s="291">
        <v>0</v>
      </c>
      <c r="K642" s="289" t="s">
        <v>1731</v>
      </c>
      <c r="L642" s="288" t="s">
        <v>1732</v>
      </c>
      <c r="M642" s="288" t="s">
        <v>1733</v>
      </c>
      <c r="N642" s="288" t="s">
        <v>1734</v>
      </c>
      <c r="O642" s="289" t="s">
        <v>3316</v>
      </c>
      <c r="P642" s="292"/>
    </row>
    <row r="643" spans="1:16" hidden="1" x14ac:dyDescent="0.25">
      <c r="A643" s="287" t="s">
        <v>3317</v>
      </c>
      <c r="B643" s="311" t="s">
        <v>3318</v>
      </c>
      <c r="C643" s="62"/>
      <c r="D643" s="288" t="s">
        <v>3319</v>
      </c>
      <c r="E643" s="288"/>
      <c r="F643" s="289"/>
      <c r="G643" s="290">
        <v>45687</v>
      </c>
      <c r="H643" s="291">
        <v>149800</v>
      </c>
      <c r="I643" s="291">
        <v>149800</v>
      </c>
      <c r="J643" s="291">
        <v>-149800</v>
      </c>
      <c r="K643" s="289" t="s">
        <v>1731</v>
      </c>
      <c r="L643" s="288" t="s">
        <v>1732</v>
      </c>
      <c r="M643" s="288" t="s">
        <v>1733</v>
      </c>
      <c r="N643" s="288" t="s">
        <v>1734</v>
      </c>
      <c r="O643" s="289" t="s">
        <v>1791</v>
      </c>
      <c r="P643" s="292"/>
    </row>
    <row r="644" spans="1:16" hidden="1" x14ac:dyDescent="0.25">
      <c r="A644" s="287" t="s">
        <v>3317</v>
      </c>
      <c r="B644" s="311" t="s">
        <v>3318</v>
      </c>
      <c r="C644" s="62"/>
      <c r="D644" s="288" t="s">
        <v>3319</v>
      </c>
      <c r="E644" s="288" t="s">
        <v>1741</v>
      </c>
      <c r="F644" s="289"/>
      <c r="G644" s="290">
        <v>45573</v>
      </c>
      <c r="H644" s="291">
        <v>5200</v>
      </c>
      <c r="I644" s="291">
        <v>5200</v>
      </c>
      <c r="J644" s="291">
        <v>-5200</v>
      </c>
      <c r="K644" s="289" t="s">
        <v>1731</v>
      </c>
      <c r="L644" s="288" t="s">
        <v>1732</v>
      </c>
      <c r="M644" s="288" t="s">
        <v>1733</v>
      </c>
      <c r="N644" s="288" t="s">
        <v>1734</v>
      </c>
      <c r="O644" s="289" t="s">
        <v>1791</v>
      </c>
      <c r="P644" s="292"/>
    </row>
    <row r="645" spans="1:16" hidden="1" x14ac:dyDescent="0.25">
      <c r="A645" s="287" t="s">
        <v>3320</v>
      </c>
      <c r="B645" s="311" t="s">
        <v>3321</v>
      </c>
      <c r="C645" s="62"/>
      <c r="D645" s="288" t="s">
        <v>3322</v>
      </c>
      <c r="E645" s="288" t="s">
        <v>1741</v>
      </c>
      <c r="F645" s="289"/>
      <c r="G645" s="290">
        <v>45573</v>
      </c>
      <c r="H645" s="291">
        <v>11827.2</v>
      </c>
      <c r="I645" s="291">
        <v>11827.2</v>
      </c>
      <c r="J645" s="291">
        <v>-11827.2</v>
      </c>
      <c r="K645" s="289" t="s">
        <v>1731</v>
      </c>
      <c r="L645" s="288" t="s">
        <v>1732</v>
      </c>
      <c r="M645" s="288" t="s">
        <v>1733</v>
      </c>
      <c r="N645" s="288" t="s">
        <v>1734</v>
      </c>
      <c r="O645" s="289" t="s">
        <v>1791</v>
      </c>
      <c r="P645" s="292"/>
    </row>
    <row r="646" spans="1:16" hidden="1" x14ac:dyDescent="0.25">
      <c r="A646" s="287" t="s">
        <v>3323</v>
      </c>
      <c r="B646" s="311" t="s">
        <v>3324</v>
      </c>
      <c r="C646" s="62"/>
      <c r="D646" s="288" t="s">
        <v>3325</v>
      </c>
      <c r="E646" s="288" t="s">
        <v>3326</v>
      </c>
      <c r="F646" s="289">
        <v>8000726384</v>
      </c>
      <c r="G646" s="290">
        <v>45491</v>
      </c>
      <c r="H646" s="291">
        <v>2400</v>
      </c>
      <c r="I646" s="291">
        <v>2400</v>
      </c>
      <c r="J646" s="291">
        <v>0</v>
      </c>
      <c r="K646" s="289" t="s">
        <v>1731</v>
      </c>
      <c r="L646" s="288" t="s">
        <v>1732</v>
      </c>
      <c r="M646" s="288" t="s">
        <v>1733</v>
      </c>
      <c r="N646" s="288" t="s">
        <v>1734</v>
      </c>
      <c r="O646" s="289" t="s">
        <v>1847</v>
      </c>
      <c r="P646" s="292"/>
    </row>
    <row r="647" spans="1:16" hidden="1" x14ac:dyDescent="0.25">
      <c r="A647" s="287" t="s">
        <v>3323</v>
      </c>
      <c r="B647" s="311" t="s">
        <v>3324</v>
      </c>
      <c r="C647" s="62"/>
      <c r="D647" s="288" t="s">
        <v>3325</v>
      </c>
      <c r="E647" s="288" t="s">
        <v>1741</v>
      </c>
      <c r="F647" s="289"/>
      <c r="G647" s="290">
        <v>45575</v>
      </c>
      <c r="H647" s="291">
        <v>1273129.6100000001</v>
      </c>
      <c r="I647" s="291">
        <v>1273129.6100000001</v>
      </c>
      <c r="J647" s="291">
        <v>-350294.78</v>
      </c>
      <c r="K647" s="289" t="s">
        <v>1731</v>
      </c>
      <c r="L647" s="288" t="s">
        <v>1732</v>
      </c>
      <c r="M647" s="288" t="s">
        <v>1733</v>
      </c>
      <c r="N647" s="288" t="s">
        <v>1734</v>
      </c>
      <c r="O647" s="289" t="s">
        <v>1791</v>
      </c>
      <c r="P647" s="292"/>
    </row>
    <row r="648" spans="1:16" hidden="1" x14ac:dyDescent="0.25">
      <c r="A648" s="287" t="s">
        <v>3327</v>
      </c>
      <c r="B648" s="311" t="s">
        <v>3328</v>
      </c>
      <c r="C648" s="62"/>
      <c r="D648" s="288" t="s">
        <v>3329</v>
      </c>
      <c r="E648" s="288" t="s">
        <v>630</v>
      </c>
      <c r="F648" s="289">
        <v>8000726336</v>
      </c>
      <c r="G648" s="290">
        <v>45552</v>
      </c>
      <c r="H648" s="291">
        <v>20000</v>
      </c>
      <c r="I648" s="291">
        <v>20000</v>
      </c>
      <c r="J648" s="291">
        <v>-20000</v>
      </c>
      <c r="K648" s="289" t="s">
        <v>1731</v>
      </c>
      <c r="L648" s="288" t="s">
        <v>1773</v>
      </c>
      <c r="M648" s="288" t="s">
        <v>1774</v>
      </c>
      <c r="N648" s="288" t="s">
        <v>1734</v>
      </c>
      <c r="O648" s="289" t="s">
        <v>3330</v>
      </c>
      <c r="P648" s="292"/>
    </row>
    <row r="649" spans="1:16" hidden="1" x14ac:dyDescent="0.25">
      <c r="A649" s="287" t="s">
        <v>3331</v>
      </c>
      <c r="B649" s="311" t="s">
        <v>3332</v>
      </c>
      <c r="C649" s="62"/>
      <c r="D649" s="288" t="s">
        <v>3333</v>
      </c>
      <c r="E649" s="288" t="s">
        <v>1741</v>
      </c>
      <c r="F649" s="289"/>
      <c r="G649" s="290">
        <v>45490</v>
      </c>
      <c r="H649" s="291">
        <v>18000</v>
      </c>
      <c r="I649" s="291">
        <v>18000</v>
      </c>
      <c r="J649" s="291">
        <v>-18000</v>
      </c>
      <c r="K649" s="289" t="s">
        <v>1731</v>
      </c>
      <c r="L649" s="288" t="s">
        <v>1773</v>
      </c>
      <c r="M649" s="288" t="s">
        <v>1774</v>
      </c>
      <c r="N649" s="288" t="s">
        <v>1734</v>
      </c>
      <c r="O649" s="289" t="s">
        <v>1791</v>
      </c>
      <c r="P649" s="292"/>
    </row>
    <row r="650" spans="1:16" hidden="1" x14ac:dyDescent="0.25">
      <c r="A650" s="287" t="s">
        <v>3334</v>
      </c>
      <c r="B650" s="311" t="s">
        <v>3335</v>
      </c>
      <c r="C650" s="62"/>
      <c r="D650" s="288" t="s">
        <v>3336</v>
      </c>
      <c r="E650" s="288" t="s">
        <v>3337</v>
      </c>
      <c r="F650" s="289">
        <v>8000726341</v>
      </c>
      <c r="G650" s="290">
        <v>45743</v>
      </c>
      <c r="H650" s="291">
        <v>50772</v>
      </c>
      <c r="I650" s="291">
        <v>50772</v>
      </c>
      <c r="J650" s="291">
        <v>-50772</v>
      </c>
      <c r="K650" s="289" t="s">
        <v>1731</v>
      </c>
      <c r="L650" s="288" t="s">
        <v>1773</v>
      </c>
      <c r="M650" s="288" t="s">
        <v>1774</v>
      </c>
      <c r="N650" s="288" t="s">
        <v>1734</v>
      </c>
      <c r="O650" s="289" t="s">
        <v>3338</v>
      </c>
      <c r="P650" s="292"/>
    </row>
    <row r="651" spans="1:16" hidden="1" x14ac:dyDescent="0.25">
      <c r="A651" s="287" t="s">
        <v>3339</v>
      </c>
      <c r="B651" s="311" t="s">
        <v>3340</v>
      </c>
      <c r="C651" s="62"/>
      <c r="D651" s="288" t="s">
        <v>3341</v>
      </c>
      <c r="E651" s="288" t="s">
        <v>3342</v>
      </c>
      <c r="F651" s="289"/>
      <c r="G651" s="290">
        <v>45562</v>
      </c>
      <c r="H651" s="291">
        <v>0.2</v>
      </c>
      <c r="I651" s="291">
        <v>0.2</v>
      </c>
      <c r="J651" s="291">
        <v>-0.2</v>
      </c>
      <c r="K651" s="289" t="s">
        <v>1731</v>
      </c>
      <c r="L651" s="288" t="s">
        <v>2164</v>
      </c>
      <c r="M651" s="288" t="s">
        <v>2165</v>
      </c>
      <c r="N651" s="288" t="s">
        <v>1734</v>
      </c>
      <c r="O651" s="289" t="s">
        <v>1791</v>
      </c>
      <c r="P651" s="292"/>
    </row>
    <row r="652" spans="1:16" hidden="1" x14ac:dyDescent="0.25">
      <c r="A652" s="287" t="s">
        <v>3343</v>
      </c>
      <c r="B652" s="311" t="s">
        <v>3344</v>
      </c>
      <c r="C652" s="62"/>
      <c r="D652" s="288" t="s">
        <v>3345</v>
      </c>
      <c r="E652" s="288" t="s">
        <v>1741</v>
      </c>
      <c r="F652" s="289"/>
      <c r="G652" s="290">
        <v>45531</v>
      </c>
      <c r="H652" s="291">
        <v>46300</v>
      </c>
      <c r="I652" s="291">
        <v>46300</v>
      </c>
      <c r="J652" s="291">
        <v>-64300</v>
      </c>
      <c r="K652" s="289" t="s">
        <v>1731</v>
      </c>
      <c r="L652" s="288" t="s">
        <v>1773</v>
      </c>
      <c r="M652" s="288" t="s">
        <v>1774</v>
      </c>
      <c r="N652" s="288" t="s">
        <v>1734</v>
      </c>
      <c r="O652" s="289" t="s">
        <v>1791</v>
      </c>
      <c r="P652" s="292"/>
    </row>
    <row r="653" spans="1:16" hidden="1" x14ac:dyDescent="0.25">
      <c r="A653" s="287" t="s">
        <v>3343</v>
      </c>
      <c r="B653" s="311" t="s">
        <v>3344</v>
      </c>
      <c r="C653" s="62"/>
      <c r="D653" s="288" t="s">
        <v>3345</v>
      </c>
      <c r="E653" s="288" t="s">
        <v>1741</v>
      </c>
      <c r="F653" s="289"/>
      <c r="G653" s="290">
        <v>45552</v>
      </c>
      <c r="H653" s="291">
        <v>18000</v>
      </c>
      <c r="I653" s="291">
        <v>18000</v>
      </c>
      <c r="J653" s="291">
        <v>-64300</v>
      </c>
      <c r="K653" s="289" t="s">
        <v>1731</v>
      </c>
      <c r="L653" s="288" t="s">
        <v>2164</v>
      </c>
      <c r="M653" s="288" t="s">
        <v>2165</v>
      </c>
      <c r="N653" s="288" t="s">
        <v>1734</v>
      </c>
      <c r="O653" s="289" t="s">
        <v>1791</v>
      </c>
      <c r="P653" s="292"/>
    </row>
    <row r="654" spans="1:16" hidden="1" x14ac:dyDescent="0.25">
      <c r="A654" s="287" t="s">
        <v>3346</v>
      </c>
      <c r="B654" s="311" t="s">
        <v>258</v>
      </c>
      <c r="C654" s="62"/>
      <c r="D654" s="288" t="s">
        <v>3347</v>
      </c>
      <c r="E654" s="288" t="s">
        <v>303</v>
      </c>
      <c r="F654" s="289">
        <v>8000675260</v>
      </c>
      <c r="G654" s="290">
        <v>45690</v>
      </c>
      <c r="H654" s="291">
        <v>300000</v>
      </c>
      <c r="I654" s="291">
        <v>300000</v>
      </c>
      <c r="J654" s="291">
        <v>-300000</v>
      </c>
      <c r="K654" s="289" t="s">
        <v>1731</v>
      </c>
      <c r="L654" s="288" t="s">
        <v>1828</v>
      </c>
      <c r="M654" s="288" t="s">
        <v>1829</v>
      </c>
      <c r="N654" s="288" t="s">
        <v>1830</v>
      </c>
      <c r="O654" s="289" t="s">
        <v>2379</v>
      </c>
      <c r="P654" s="292"/>
    </row>
    <row r="655" spans="1:16" hidden="1" x14ac:dyDescent="0.25">
      <c r="A655" s="287" t="s">
        <v>3348</v>
      </c>
      <c r="B655" s="311" t="s">
        <v>3349</v>
      </c>
      <c r="C655" s="62"/>
      <c r="D655" s="288" t="s">
        <v>3350</v>
      </c>
      <c r="E655" s="288" t="s">
        <v>3351</v>
      </c>
      <c r="F655" s="289">
        <v>8000725965</v>
      </c>
      <c r="G655" s="290">
        <v>45813</v>
      </c>
      <c r="H655" s="291">
        <v>8702508.0600000005</v>
      </c>
      <c r="I655" s="291">
        <v>8702508.0600000005</v>
      </c>
      <c r="J655" s="291">
        <v>0</v>
      </c>
      <c r="K655" s="289" t="s">
        <v>1731</v>
      </c>
      <c r="L655" s="288" t="s">
        <v>1839</v>
      </c>
      <c r="M655" s="288" t="s">
        <v>1840</v>
      </c>
      <c r="N655" s="288" t="s">
        <v>1841</v>
      </c>
      <c r="O655" s="289" t="s">
        <v>1925</v>
      </c>
      <c r="P655" s="292"/>
    </row>
    <row r="656" spans="1:16" hidden="1" x14ac:dyDescent="0.25">
      <c r="A656" s="287" t="s">
        <v>3348</v>
      </c>
      <c r="B656" s="311" t="s">
        <v>3349</v>
      </c>
      <c r="C656" s="62"/>
      <c r="D656" s="288" t="s">
        <v>3350</v>
      </c>
      <c r="E656" s="288" t="s">
        <v>3352</v>
      </c>
      <c r="F656" s="289">
        <v>8000725517</v>
      </c>
      <c r="G656" s="290">
        <v>45646</v>
      </c>
      <c r="H656" s="291">
        <v>264487.59999999998</v>
      </c>
      <c r="I656" s="291">
        <v>264487.59999999998</v>
      </c>
      <c r="J656" s="291">
        <v>0</v>
      </c>
      <c r="K656" s="289" t="s">
        <v>1731</v>
      </c>
      <c r="L656" s="288" t="s">
        <v>1732</v>
      </c>
      <c r="M656" s="288" t="s">
        <v>1733</v>
      </c>
      <c r="N656" s="288" t="s">
        <v>1734</v>
      </c>
      <c r="O656" s="289" t="s">
        <v>1879</v>
      </c>
      <c r="P656" s="292"/>
    </row>
    <row r="657" spans="1:16" hidden="1" x14ac:dyDescent="0.25">
      <c r="A657" s="287" t="s">
        <v>3353</v>
      </c>
      <c r="B657" s="311" t="s">
        <v>3354</v>
      </c>
      <c r="C657" s="62"/>
      <c r="D657" s="288" t="s">
        <v>3355</v>
      </c>
      <c r="E657" s="288" t="s">
        <v>1741</v>
      </c>
      <c r="F657" s="289"/>
      <c r="G657" s="290">
        <v>45497</v>
      </c>
      <c r="H657" s="291">
        <v>6856.06</v>
      </c>
      <c r="I657" s="291">
        <v>6856.06</v>
      </c>
      <c r="J657" s="291">
        <v>-6856.06</v>
      </c>
      <c r="K657" s="289" t="s">
        <v>1731</v>
      </c>
      <c r="L657" s="288" t="s">
        <v>1732</v>
      </c>
      <c r="M657" s="288" t="s">
        <v>1733</v>
      </c>
      <c r="N657" s="288" t="s">
        <v>1734</v>
      </c>
      <c r="O657" s="289" t="s">
        <v>1791</v>
      </c>
      <c r="P657" s="292"/>
    </row>
    <row r="658" spans="1:16" hidden="1" x14ac:dyDescent="0.25">
      <c r="A658" s="287" t="s">
        <v>3356</v>
      </c>
      <c r="B658" s="311" t="s">
        <v>3357</v>
      </c>
      <c r="C658" s="62"/>
      <c r="D658" s="288" t="s">
        <v>3358</v>
      </c>
      <c r="E658" s="288" t="s">
        <v>1741</v>
      </c>
      <c r="F658" s="289"/>
      <c r="G658" s="290">
        <v>45491</v>
      </c>
      <c r="H658" s="291">
        <v>35000</v>
      </c>
      <c r="I658" s="291">
        <v>35000</v>
      </c>
      <c r="J658" s="291">
        <v>-35000</v>
      </c>
      <c r="K658" s="289" t="s">
        <v>1731</v>
      </c>
      <c r="L658" s="288" t="s">
        <v>1732</v>
      </c>
      <c r="M658" s="288" t="s">
        <v>1733</v>
      </c>
      <c r="N658" s="288" t="s">
        <v>1734</v>
      </c>
      <c r="O658" s="289" t="s">
        <v>1791</v>
      </c>
      <c r="P658" s="292"/>
    </row>
    <row r="659" spans="1:16" hidden="1" x14ac:dyDescent="0.25">
      <c r="A659" s="287" t="s">
        <v>3359</v>
      </c>
      <c r="B659" s="311" t="s">
        <v>3360</v>
      </c>
      <c r="C659" s="62"/>
      <c r="D659" s="288" t="s">
        <v>3361</v>
      </c>
      <c r="E659" s="288" t="s">
        <v>3362</v>
      </c>
      <c r="F659" s="289">
        <v>8000725984</v>
      </c>
      <c r="G659" s="290">
        <v>46002</v>
      </c>
      <c r="H659" s="291">
        <v>36969.32</v>
      </c>
      <c r="I659" s="291">
        <v>36969.32</v>
      </c>
      <c r="J659" s="291">
        <v>-969.32</v>
      </c>
      <c r="K659" s="289" t="s">
        <v>1731</v>
      </c>
      <c r="L659" s="288" t="s">
        <v>2164</v>
      </c>
      <c r="M659" s="288" t="s">
        <v>2165</v>
      </c>
      <c r="N659" s="288" t="s">
        <v>1734</v>
      </c>
      <c r="O659" s="289" t="s">
        <v>2803</v>
      </c>
      <c r="P659" s="292"/>
    </row>
    <row r="660" spans="1:16" hidden="1" x14ac:dyDescent="0.25">
      <c r="A660" s="287" t="s">
        <v>3363</v>
      </c>
      <c r="B660" s="311" t="s">
        <v>3364</v>
      </c>
      <c r="C660" s="62"/>
      <c r="D660" s="288" t="s">
        <v>3365</v>
      </c>
      <c r="E660" s="288" t="s">
        <v>3366</v>
      </c>
      <c r="F660" s="289"/>
      <c r="G660" s="290">
        <v>45492</v>
      </c>
      <c r="H660" s="291">
        <v>104190</v>
      </c>
      <c r="I660" s="291">
        <v>104190</v>
      </c>
      <c r="J660" s="291">
        <v>-104190</v>
      </c>
      <c r="K660" s="289" t="s">
        <v>1731</v>
      </c>
      <c r="L660" s="288" t="s">
        <v>1732</v>
      </c>
      <c r="M660" s="288" t="s">
        <v>1733</v>
      </c>
      <c r="N660" s="288" t="s">
        <v>1734</v>
      </c>
      <c r="O660" s="289" t="s">
        <v>1791</v>
      </c>
      <c r="P660" s="292"/>
    </row>
    <row r="661" spans="1:16" hidden="1" x14ac:dyDescent="0.25">
      <c r="A661" s="287" t="s">
        <v>3367</v>
      </c>
      <c r="B661" s="311" t="s">
        <v>3368</v>
      </c>
      <c r="C661" s="62"/>
      <c r="D661" s="288" t="s">
        <v>3369</v>
      </c>
      <c r="E661" s="288" t="s">
        <v>3370</v>
      </c>
      <c r="F661" s="289">
        <v>8000726105</v>
      </c>
      <c r="G661" s="290">
        <v>45565</v>
      </c>
      <c r="H661" s="291">
        <v>143616.51999999999</v>
      </c>
      <c r="I661" s="291">
        <v>143616.51999999999</v>
      </c>
      <c r="J661" s="291">
        <v>-143616.51999999999</v>
      </c>
      <c r="K661" s="289" t="s">
        <v>1731</v>
      </c>
      <c r="L661" s="288" t="s">
        <v>1732</v>
      </c>
      <c r="M661" s="288" t="s">
        <v>1733</v>
      </c>
      <c r="N661" s="288" t="s">
        <v>1734</v>
      </c>
      <c r="O661" s="289" t="s">
        <v>2676</v>
      </c>
      <c r="P661" s="292"/>
    </row>
    <row r="662" spans="1:16" hidden="1" x14ac:dyDescent="0.25">
      <c r="A662" s="287" t="s">
        <v>3371</v>
      </c>
      <c r="B662" s="311" t="s">
        <v>3372</v>
      </c>
      <c r="C662" s="62"/>
      <c r="D662" s="288" t="s">
        <v>3373</v>
      </c>
      <c r="E662" s="288" t="s">
        <v>3374</v>
      </c>
      <c r="F662" s="289">
        <v>8000726009</v>
      </c>
      <c r="G662" s="290">
        <v>45593</v>
      </c>
      <c r="H662" s="291">
        <v>10731</v>
      </c>
      <c r="I662" s="291">
        <v>10731</v>
      </c>
      <c r="J662" s="291">
        <v>-10731</v>
      </c>
      <c r="K662" s="289" t="s">
        <v>1731</v>
      </c>
      <c r="L662" s="288" t="s">
        <v>1732</v>
      </c>
      <c r="M662" s="288" t="s">
        <v>1733</v>
      </c>
      <c r="N662" s="288" t="s">
        <v>1734</v>
      </c>
      <c r="O662" s="289" t="s">
        <v>2860</v>
      </c>
      <c r="P662" s="292"/>
    </row>
    <row r="663" spans="1:16" hidden="1" x14ac:dyDescent="0.25">
      <c r="A663" s="287" t="s">
        <v>3375</v>
      </c>
      <c r="B663" s="311" t="s">
        <v>3376</v>
      </c>
      <c r="C663" s="62"/>
      <c r="D663" s="288" t="s">
        <v>3377</v>
      </c>
      <c r="E663" s="288" t="s">
        <v>3378</v>
      </c>
      <c r="F663" s="289">
        <v>8000725970</v>
      </c>
      <c r="G663" s="290">
        <v>45559</v>
      </c>
      <c r="H663" s="291">
        <v>393160.02</v>
      </c>
      <c r="I663" s="291">
        <v>393160.02</v>
      </c>
      <c r="J663" s="291">
        <v>-393160.02</v>
      </c>
      <c r="K663" s="289" t="s">
        <v>1731</v>
      </c>
      <c r="L663" s="288" t="s">
        <v>1732</v>
      </c>
      <c r="M663" s="288" t="s">
        <v>1733</v>
      </c>
      <c r="N663" s="288" t="s">
        <v>1734</v>
      </c>
      <c r="O663" s="289" t="s">
        <v>3172</v>
      </c>
      <c r="P663" s="292"/>
    </row>
    <row r="664" spans="1:16" hidden="1" x14ac:dyDescent="0.25">
      <c r="A664" s="287" t="s">
        <v>3379</v>
      </c>
      <c r="B664" s="311" t="s">
        <v>3380</v>
      </c>
      <c r="C664" s="62"/>
      <c r="D664" s="288" t="s">
        <v>3381</v>
      </c>
      <c r="E664" s="288" t="s">
        <v>3382</v>
      </c>
      <c r="F664" s="289">
        <v>8000725954</v>
      </c>
      <c r="G664" s="290">
        <v>45561</v>
      </c>
      <c r="H664" s="291">
        <v>2332000</v>
      </c>
      <c r="I664" s="291">
        <v>2332000</v>
      </c>
      <c r="J664" s="291">
        <v>-2332000</v>
      </c>
      <c r="K664" s="289" t="s">
        <v>1731</v>
      </c>
      <c r="L664" s="288" t="s">
        <v>1732</v>
      </c>
      <c r="M664" s="288" t="s">
        <v>1733</v>
      </c>
      <c r="N664" s="288" t="s">
        <v>1734</v>
      </c>
      <c r="O664" s="289" t="s">
        <v>3172</v>
      </c>
      <c r="P664" s="292"/>
    </row>
    <row r="665" spans="1:16" hidden="1" x14ac:dyDescent="0.25">
      <c r="A665" s="287" t="s">
        <v>3383</v>
      </c>
      <c r="B665" s="311" t="s">
        <v>3384</v>
      </c>
      <c r="C665" s="62"/>
      <c r="D665" s="288" t="s">
        <v>3385</v>
      </c>
      <c r="E665" s="288" t="s">
        <v>1741</v>
      </c>
      <c r="F665" s="289"/>
      <c r="G665" s="290">
        <v>45595</v>
      </c>
      <c r="H665" s="291">
        <v>644141.42000000004</v>
      </c>
      <c r="I665" s="291">
        <v>644141.42000000004</v>
      </c>
      <c r="J665" s="291">
        <v>-375614.76</v>
      </c>
      <c r="K665" s="289" t="s">
        <v>1731</v>
      </c>
      <c r="L665" s="288" t="s">
        <v>1732</v>
      </c>
      <c r="M665" s="288" t="s">
        <v>1733</v>
      </c>
      <c r="N665" s="288" t="s">
        <v>1734</v>
      </c>
      <c r="O665" s="289" t="s">
        <v>1791</v>
      </c>
      <c r="P665" s="292"/>
    </row>
    <row r="666" spans="1:16" hidden="1" x14ac:dyDescent="0.25">
      <c r="A666" s="287" t="s">
        <v>3386</v>
      </c>
      <c r="B666" s="311" t="s">
        <v>3387</v>
      </c>
      <c r="C666" s="62"/>
      <c r="D666" s="288" t="s">
        <v>3388</v>
      </c>
      <c r="E666" s="288" t="s">
        <v>3389</v>
      </c>
      <c r="F666" s="289">
        <v>8000726056</v>
      </c>
      <c r="G666" s="290">
        <v>45540</v>
      </c>
      <c r="H666" s="291">
        <v>589607.16</v>
      </c>
      <c r="I666" s="291">
        <v>589607.16</v>
      </c>
      <c r="J666" s="291">
        <v>-589607.16</v>
      </c>
      <c r="K666" s="289" t="s">
        <v>1731</v>
      </c>
      <c r="L666" s="288" t="s">
        <v>1732</v>
      </c>
      <c r="M666" s="288" t="s">
        <v>1733</v>
      </c>
      <c r="N666" s="288" t="s">
        <v>1734</v>
      </c>
      <c r="O666" s="289" t="s">
        <v>1847</v>
      </c>
      <c r="P666" s="292"/>
    </row>
    <row r="667" spans="1:16" ht="26.25" hidden="1" x14ac:dyDescent="0.25">
      <c r="A667" s="287" t="s">
        <v>3390</v>
      </c>
      <c r="B667" s="311" t="s">
        <v>3391</v>
      </c>
      <c r="C667" s="62"/>
      <c r="D667" s="288" t="s">
        <v>2254</v>
      </c>
      <c r="E667" s="288" t="s">
        <v>2106</v>
      </c>
      <c r="F667" s="289">
        <v>8000725522</v>
      </c>
      <c r="G667" s="290">
        <v>45610</v>
      </c>
      <c r="H667" s="291">
        <v>3618529</v>
      </c>
      <c r="I667" s="291">
        <v>3618529</v>
      </c>
      <c r="J667" s="291">
        <v>-3559876.2</v>
      </c>
      <c r="K667" s="289" t="s">
        <v>1731</v>
      </c>
      <c r="L667" s="288" t="s">
        <v>1732</v>
      </c>
      <c r="M667" s="288" t="s">
        <v>1733</v>
      </c>
      <c r="N667" s="288" t="s">
        <v>1734</v>
      </c>
      <c r="O667" s="289" t="s">
        <v>1879</v>
      </c>
      <c r="P667" s="292"/>
    </row>
    <row r="668" spans="1:16" hidden="1" x14ac:dyDescent="0.25">
      <c r="A668" s="287" t="s">
        <v>3392</v>
      </c>
      <c r="B668" s="311" t="s">
        <v>3393</v>
      </c>
      <c r="C668" s="62"/>
      <c r="D668" s="288" t="s">
        <v>3394</v>
      </c>
      <c r="E668" s="288"/>
      <c r="F668" s="289">
        <v>8701711277</v>
      </c>
      <c r="G668" s="290">
        <v>46002</v>
      </c>
      <c r="H668" s="291">
        <v>0.04</v>
      </c>
      <c r="I668" s="291">
        <v>0.04</v>
      </c>
      <c r="J668" s="291">
        <v>0</v>
      </c>
      <c r="K668" s="289" t="s">
        <v>1731</v>
      </c>
      <c r="L668" s="288" t="s">
        <v>1732</v>
      </c>
      <c r="M668" s="288" t="s">
        <v>1733</v>
      </c>
      <c r="N668" s="288" t="s">
        <v>1734</v>
      </c>
      <c r="O668" s="289" t="s">
        <v>2305</v>
      </c>
      <c r="P668" s="292"/>
    </row>
    <row r="669" spans="1:16" hidden="1" x14ac:dyDescent="0.25">
      <c r="A669" s="287" t="s">
        <v>3395</v>
      </c>
      <c r="B669" s="311" t="s">
        <v>3396</v>
      </c>
      <c r="C669" s="62"/>
      <c r="D669" s="288" t="s">
        <v>3397</v>
      </c>
      <c r="E669" s="288" t="s">
        <v>3398</v>
      </c>
      <c r="F669" s="289">
        <v>8000725614</v>
      </c>
      <c r="G669" s="290">
        <v>45651</v>
      </c>
      <c r="H669" s="291">
        <v>1441480.2</v>
      </c>
      <c r="I669" s="291">
        <v>1441480.2</v>
      </c>
      <c r="J669" s="291">
        <v>-1120939.0900000001</v>
      </c>
      <c r="K669" s="289" t="s">
        <v>1731</v>
      </c>
      <c r="L669" s="288" t="s">
        <v>1732</v>
      </c>
      <c r="M669" s="288" t="s">
        <v>1733</v>
      </c>
      <c r="N669" s="288" t="s">
        <v>1734</v>
      </c>
      <c r="O669" s="289" t="s">
        <v>1847</v>
      </c>
      <c r="P669" s="292"/>
    </row>
    <row r="670" spans="1:16" hidden="1" x14ac:dyDescent="0.25">
      <c r="A670" s="287" t="s">
        <v>3399</v>
      </c>
      <c r="B670" s="311" t="s">
        <v>3400</v>
      </c>
      <c r="C670" s="62"/>
      <c r="D670" s="288" t="s">
        <v>3401</v>
      </c>
      <c r="E670" s="288" t="s">
        <v>1741</v>
      </c>
      <c r="F670" s="289"/>
      <c r="G670" s="290">
        <v>45523</v>
      </c>
      <c r="H670" s="291">
        <v>66000</v>
      </c>
      <c r="I670" s="291">
        <v>66000</v>
      </c>
      <c r="J670" s="291">
        <v>-66000</v>
      </c>
      <c r="K670" s="289" t="s">
        <v>1731</v>
      </c>
      <c r="L670" s="288" t="s">
        <v>1773</v>
      </c>
      <c r="M670" s="288" t="s">
        <v>1774</v>
      </c>
      <c r="N670" s="288" t="s">
        <v>1734</v>
      </c>
      <c r="O670" s="289" t="s">
        <v>1791</v>
      </c>
      <c r="P670" s="292"/>
    </row>
    <row r="671" spans="1:16" hidden="1" x14ac:dyDescent="0.25">
      <c r="A671" s="287" t="s">
        <v>3402</v>
      </c>
      <c r="B671" s="311" t="s">
        <v>3147</v>
      </c>
      <c r="C671" s="62"/>
      <c r="D671" s="288" t="s">
        <v>3403</v>
      </c>
      <c r="E671" s="288" t="s">
        <v>3404</v>
      </c>
      <c r="F671" s="289"/>
      <c r="G671" s="290">
        <v>45573</v>
      </c>
      <c r="H671" s="291">
        <v>176000</v>
      </c>
      <c r="I671" s="291">
        <v>176000</v>
      </c>
      <c r="J671" s="291">
        <v>0</v>
      </c>
      <c r="K671" s="289" t="s">
        <v>1731</v>
      </c>
      <c r="L671" s="288" t="s">
        <v>1732</v>
      </c>
      <c r="M671" s="288" t="s">
        <v>1733</v>
      </c>
      <c r="N671" s="288" t="s">
        <v>1734</v>
      </c>
      <c r="O671" s="289" t="s">
        <v>1791</v>
      </c>
      <c r="P671" s="292"/>
    </row>
    <row r="672" spans="1:16" hidden="1" x14ac:dyDescent="0.25">
      <c r="A672" s="287" t="s">
        <v>3402</v>
      </c>
      <c r="B672" s="311" t="s">
        <v>3147</v>
      </c>
      <c r="C672" s="62"/>
      <c r="D672" s="288" t="s">
        <v>3403</v>
      </c>
      <c r="E672" s="288" t="s">
        <v>1741</v>
      </c>
      <c r="F672" s="289"/>
      <c r="G672" s="290">
        <v>45631</v>
      </c>
      <c r="H672" s="291">
        <v>110000</v>
      </c>
      <c r="I672" s="291">
        <v>110000</v>
      </c>
      <c r="J672" s="291">
        <v>0</v>
      </c>
      <c r="K672" s="289" t="s">
        <v>1731</v>
      </c>
      <c r="L672" s="288" t="s">
        <v>1732</v>
      </c>
      <c r="M672" s="288" t="s">
        <v>1733</v>
      </c>
      <c r="N672" s="288" t="s">
        <v>1734</v>
      </c>
      <c r="O672" s="289" t="s">
        <v>1791</v>
      </c>
      <c r="P672" s="292"/>
    </row>
    <row r="673" spans="1:16" hidden="1" x14ac:dyDescent="0.25">
      <c r="A673" s="287" t="s">
        <v>3405</v>
      </c>
      <c r="B673" s="311" t="s">
        <v>3406</v>
      </c>
      <c r="C673" s="62"/>
      <c r="D673" s="288" t="s">
        <v>3407</v>
      </c>
      <c r="E673" s="288" t="s">
        <v>1741</v>
      </c>
      <c r="F673" s="289"/>
      <c r="G673" s="290">
        <v>45525</v>
      </c>
      <c r="H673" s="291">
        <v>20624</v>
      </c>
      <c r="I673" s="291">
        <v>20624</v>
      </c>
      <c r="J673" s="291">
        <v>-20624</v>
      </c>
      <c r="K673" s="289" t="s">
        <v>1731</v>
      </c>
      <c r="L673" s="288" t="s">
        <v>1732</v>
      </c>
      <c r="M673" s="288" t="s">
        <v>1733</v>
      </c>
      <c r="N673" s="288" t="s">
        <v>1734</v>
      </c>
      <c r="O673" s="289" t="s">
        <v>1791</v>
      </c>
      <c r="P673" s="292"/>
    </row>
    <row r="674" spans="1:16" hidden="1" x14ac:dyDescent="0.25">
      <c r="A674" s="287" t="s">
        <v>3408</v>
      </c>
      <c r="B674" s="311" t="s">
        <v>3409</v>
      </c>
      <c r="C674" s="62"/>
      <c r="D674" s="288" t="s">
        <v>3410</v>
      </c>
      <c r="E674" s="288" t="s">
        <v>1741</v>
      </c>
      <c r="F674" s="289"/>
      <c r="G674" s="290">
        <v>45511</v>
      </c>
      <c r="H674" s="291">
        <v>16920.04</v>
      </c>
      <c r="I674" s="291">
        <v>16920.04</v>
      </c>
      <c r="J674" s="291">
        <v>0</v>
      </c>
      <c r="K674" s="289" t="s">
        <v>1731</v>
      </c>
      <c r="L674" s="288" t="s">
        <v>1732</v>
      </c>
      <c r="M674" s="288" t="s">
        <v>1733</v>
      </c>
      <c r="N674" s="288" t="s">
        <v>1734</v>
      </c>
      <c r="O674" s="289" t="s">
        <v>1791</v>
      </c>
      <c r="P674" s="292"/>
    </row>
    <row r="675" spans="1:16" hidden="1" x14ac:dyDescent="0.25">
      <c r="A675" s="287" t="s">
        <v>3411</v>
      </c>
      <c r="B675" s="311" t="s">
        <v>3412</v>
      </c>
      <c r="C675" s="62"/>
      <c r="D675" s="288" t="s">
        <v>3413</v>
      </c>
      <c r="E675" s="288"/>
      <c r="F675" s="289"/>
      <c r="G675" s="290">
        <v>45652</v>
      </c>
      <c r="H675" s="291">
        <v>387050</v>
      </c>
      <c r="I675" s="291">
        <v>387050</v>
      </c>
      <c r="J675" s="291">
        <v>-96260</v>
      </c>
      <c r="K675" s="289" t="s">
        <v>1731</v>
      </c>
      <c r="L675" s="288" t="s">
        <v>1732</v>
      </c>
      <c r="M675" s="288" t="s">
        <v>1733</v>
      </c>
      <c r="N675" s="288" t="s">
        <v>1734</v>
      </c>
      <c r="O675" s="289" t="s">
        <v>1791</v>
      </c>
      <c r="P675" s="292"/>
    </row>
    <row r="676" spans="1:16" hidden="1" x14ac:dyDescent="0.25">
      <c r="A676" s="287" t="s">
        <v>3411</v>
      </c>
      <c r="B676" s="311" t="s">
        <v>3412</v>
      </c>
      <c r="C676" s="62"/>
      <c r="D676" s="288" t="s">
        <v>3413</v>
      </c>
      <c r="E676" s="288" t="s">
        <v>1741</v>
      </c>
      <c r="F676" s="289"/>
      <c r="G676" s="290">
        <v>45555</v>
      </c>
      <c r="H676" s="291">
        <v>386320</v>
      </c>
      <c r="I676" s="291">
        <v>386320</v>
      </c>
      <c r="J676" s="291">
        <v>0</v>
      </c>
      <c r="K676" s="289" t="s">
        <v>1731</v>
      </c>
      <c r="L676" s="288" t="s">
        <v>1732</v>
      </c>
      <c r="M676" s="288" t="s">
        <v>1733</v>
      </c>
      <c r="N676" s="288" t="s">
        <v>1734</v>
      </c>
      <c r="O676" s="289" t="s">
        <v>1791</v>
      </c>
      <c r="P676" s="292"/>
    </row>
    <row r="677" spans="1:16" hidden="1" x14ac:dyDescent="0.25">
      <c r="A677" s="287" t="s">
        <v>3414</v>
      </c>
      <c r="B677" s="311" t="s">
        <v>3415</v>
      </c>
      <c r="C677" s="62"/>
      <c r="D677" s="288" t="s">
        <v>3416</v>
      </c>
      <c r="E677" s="288" t="s">
        <v>1741</v>
      </c>
      <c r="F677" s="289"/>
      <c r="G677" s="290">
        <v>45516</v>
      </c>
      <c r="H677" s="291">
        <v>81000</v>
      </c>
      <c r="I677" s="291">
        <v>81000</v>
      </c>
      <c r="J677" s="291">
        <v>-81000</v>
      </c>
      <c r="K677" s="289" t="s">
        <v>1731</v>
      </c>
      <c r="L677" s="288" t="s">
        <v>1732</v>
      </c>
      <c r="M677" s="288" t="s">
        <v>1733</v>
      </c>
      <c r="N677" s="288" t="s">
        <v>1734</v>
      </c>
      <c r="O677" s="289" t="s">
        <v>1791</v>
      </c>
      <c r="P677" s="292"/>
    </row>
    <row r="678" spans="1:16" hidden="1" x14ac:dyDescent="0.25">
      <c r="A678" s="287" t="s">
        <v>3417</v>
      </c>
      <c r="B678" s="311" t="s">
        <v>3418</v>
      </c>
      <c r="C678" s="62"/>
      <c r="D678" s="288" t="s">
        <v>3419</v>
      </c>
      <c r="E678" s="288" t="s">
        <v>1741</v>
      </c>
      <c r="F678" s="289"/>
      <c r="G678" s="290">
        <v>45534</v>
      </c>
      <c r="H678" s="291">
        <v>173871.95</v>
      </c>
      <c r="I678" s="291">
        <v>173871.95</v>
      </c>
      <c r="J678" s="291">
        <v>-304203.71000000002</v>
      </c>
      <c r="K678" s="289" t="s">
        <v>1731</v>
      </c>
      <c r="L678" s="288" t="s">
        <v>1732</v>
      </c>
      <c r="M678" s="288" t="s">
        <v>1733</v>
      </c>
      <c r="N678" s="288" t="s">
        <v>1734</v>
      </c>
      <c r="O678" s="289" t="s">
        <v>1791</v>
      </c>
      <c r="P678" s="292"/>
    </row>
    <row r="679" spans="1:16" hidden="1" x14ac:dyDescent="0.25">
      <c r="A679" s="287" t="s">
        <v>3417</v>
      </c>
      <c r="B679" s="311" t="s">
        <v>3418</v>
      </c>
      <c r="C679" s="62"/>
      <c r="D679" s="288" t="s">
        <v>3419</v>
      </c>
      <c r="E679" s="288" t="s">
        <v>1741</v>
      </c>
      <c r="F679" s="289"/>
      <c r="G679" s="290">
        <v>45596</v>
      </c>
      <c r="H679" s="291">
        <v>286266.09999999998</v>
      </c>
      <c r="I679" s="291">
        <v>286266.09999999998</v>
      </c>
      <c r="J679" s="291">
        <v>-304203.71000000002</v>
      </c>
      <c r="K679" s="289" t="s">
        <v>1731</v>
      </c>
      <c r="L679" s="288" t="s">
        <v>1773</v>
      </c>
      <c r="M679" s="288" t="s">
        <v>1774</v>
      </c>
      <c r="N679" s="288" t="s">
        <v>1734</v>
      </c>
      <c r="O679" s="289" t="s">
        <v>1791</v>
      </c>
      <c r="P679" s="292"/>
    </row>
    <row r="680" spans="1:16" hidden="1" x14ac:dyDescent="0.25">
      <c r="A680" s="287" t="s">
        <v>3420</v>
      </c>
      <c r="B680" s="311" t="s">
        <v>3421</v>
      </c>
      <c r="C680" s="62"/>
      <c r="D680" s="288" t="s">
        <v>3422</v>
      </c>
      <c r="E680" s="288" t="s">
        <v>1741</v>
      </c>
      <c r="F680" s="289"/>
      <c r="G680" s="290">
        <v>45541</v>
      </c>
      <c r="H680" s="291">
        <v>1035</v>
      </c>
      <c r="I680" s="291">
        <v>1035</v>
      </c>
      <c r="J680" s="291">
        <v>-1035</v>
      </c>
      <c r="K680" s="289" t="s">
        <v>1731</v>
      </c>
      <c r="L680" s="288" t="s">
        <v>1732</v>
      </c>
      <c r="M680" s="288" t="s">
        <v>1733</v>
      </c>
      <c r="N680" s="288" t="s">
        <v>1734</v>
      </c>
      <c r="O680" s="289" t="s">
        <v>1791</v>
      </c>
      <c r="P680" s="292"/>
    </row>
    <row r="681" spans="1:16" hidden="1" x14ac:dyDescent="0.25">
      <c r="A681" s="287" t="s">
        <v>3423</v>
      </c>
      <c r="B681" s="311" t="s">
        <v>3424</v>
      </c>
      <c r="C681" s="62"/>
      <c r="D681" s="288" t="s">
        <v>3425</v>
      </c>
      <c r="E681" s="288" t="s">
        <v>1741</v>
      </c>
      <c r="F681" s="289"/>
      <c r="G681" s="290">
        <v>45650</v>
      </c>
      <c r="H681" s="291">
        <v>141060</v>
      </c>
      <c r="I681" s="291">
        <v>141060</v>
      </c>
      <c r="J681" s="291">
        <v>-141060</v>
      </c>
      <c r="K681" s="289" t="s">
        <v>1731</v>
      </c>
      <c r="L681" s="288" t="s">
        <v>1773</v>
      </c>
      <c r="M681" s="288" t="s">
        <v>1774</v>
      </c>
      <c r="N681" s="288" t="s">
        <v>1734</v>
      </c>
      <c r="O681" s="289" t="s">
        <v>1791</v>
      </c>
      <c r="P681" s="292"/>
    </row>
    <row r="682" spans="1:16" hidden="1" x14ac:dyDescent="0.25">
      <c r="A682" s="287" t="s">
        <v>3426</v>
      </c>
      <c r="B682" s="311" t="s">
        <v>3427</v>
      </c>
      <c r="C682" s="62"/>
      <c r="D682" s="288" t="s">
        <v>3428</v>
      </c>
      <c r="E682" s="288" t="s">
        <v>1741</v>
      </c>
      <c r="F682" s="289"/>
      <c r="G682" s="290">
        <v>45540</v>
      </c>
      <c r="H682" s="291">
        <v>46610</v>
      </c>
      <c r="I682" s="291">
        <v>46610</v>
      </c>
      <c r="J682" s="291">
        <v>-46610</v>
      </c>
      <c r="K682" s="289" t="s">
        <v>1731</v>
      </c>
      <c r="L682" s="288" t="s">
        <v>1732</v>
      </c>
      <c r="M682" s="288" t="s">
        <v>1733</v>
      </c>
      <c r="N682" s="288" t="s">
        <v>1734</v>
      </c>
      <c r="O682" s="289" t="s">
        <v>1791</v>
      </c>
      <c r="P682" s="292"/>
    </row>
    <row r="683" spans="1:16" hidden="1" x14ac:dyDescent="0.25">
      <c r="A683" s="287" t="s">
        <v>3429</v>
      </c>
      <c r="B683" s="311" t="s">
        <v>3430</v>
      </c>
      <c r="C683" s="62"/>
      <c r="D683" s="288" t="s">
        <v>3431</v>
      </c>
      <c r="E683" s="288" t="s">
        <v>1741</v>
      </c>
      <c r="F683" s="289"/>
      <c r="G683" s="290">
        <v>45541</v>
      </c>
      <c r="H683" s="291">
        <v>21236.6</v>
      </c>
      <c r="I683" s="291">
        <v>21236.6</v>
      </c>
      <c r="J683" s="291">
        <v>-21236.6</v>
      </c>
      <c r="K683" s="289" t="s">
        <v>1731</v>
      </c>
      <c r="L683" s="288" t="s">
        <v>1732</v>
      </c>
      <c r="M683" s="288" t="s">
        <v>1733</v>
      </c>
      <c r="N683" s="288" t="s">
        <v>1734</v>
      </c>
      <c r="O683" s="289" t="s">
        <v>1791</v>
      </c>
      <c r="P683" s="292"/>
    </row>
    <row r="684" spans="1:16" hidden="1" x14ac:dyDescent="0.25">
      <c r="A684" s="287" t="s">
        <v>3432</v>
      </c>
      <c r="B684" s="311" t="s">
        <v>3433</v>
      </c>
      <c r="C684" s="62"/>
      <c r="D684" s="288" t="s">
        <v>3434</v>
      </c>
      <c r="E684" s="288" t="s">
        <v>3435</v>
      </c>
      <c r="F684" s="289">
        <v>8000725985</v>
      </c>
      <c r="G684" s="290">
        <v>45643</v>
      </c>
      <c r="H684" s="291">
        <v>0.03</v>
      </c>
      <c r="I684" s="291">
        <v>0.03</v>
      </c>
      <c r="J684" s="291">
        <v>-0.03</v>
      </c>
      <c r="K684" s="289" t="s">
        <v>1731</v>
      </c>
      <c r="L684" s="288" t="s">
        <v>1732</v>
      </c>
      <c r="M684" s="288" t="s">
        <v>1733</v>
      </c>
      <c r="N684" s="288" t="s">
        <v>1734</v>
      </c>
      <c r="O684" s="289" t="s">
        <v>1847</v>
      </c>
      <c r="P684" s="292"/>
    </row>
    <row r="685" spans="1:16" hidden="1" x14ac:dyDescent="0.25">
      <c r="A685" s="287" t="s">
        <v>3436</v>
      </c>
      <c r="B685" s="311" t="s">
        <v>3437</v>
      </c>
      <c r="C685" s="62"/>
      <c r="D685" s="288" t="s">
        <v>3438</v>
      </c>
      <c r="E685" s="288"/>
      <c r="F685" s="289">
        <v>8701503303</v>
      </c>
      <c r="G685" s="290">
        <v>45768</v>
      </c>
      <c r="H685" s="291">
        <v>22800</v>
      </c>
      <c r="I685" s="291">
        <v>22800</v>
      </c>
      <c r="J685" s="291">
        <v>-22800</v>
      </c>
      <c r="K685" s="289" t="s">
        <v>1731</v>
      </c>
      <c r="L685" s="288" t="s">
        <v>1732</v>
      </c>
      <c r="M685" s="288" t="s">
        <v>1733</v>
      </c>
      <c r="N685" s="288" t="s">
        <v>1734</v>
      </c>
      <c r="O685" s="289" t="s">
        <v>2305</v>
      </c>
      <c r="P685" s="292"/>
    </row>
    <row r="686" spans="1:16" hidden="1" x14ac:dyDescent="0.25">
      <c r="A686" s="287" t="s">
        <v>3439</v>
      </c>
      <c r="B686" s="311" t="s">
        <v>3440</v>
      </c>
      <c r="C686" s="62"/>
      <c r="D686" s="288" t="s">
        <v>3441</v>
      </c>
      <c r="E686" s="288" t="s">
        <v>1741</v>
      </c>
      <c r="F686" s="289"/>
      <c r="G686" s="290">
        <v>45588</v>
      </c>
      <c r="H686" s="291">
        <v>236495</v>
      </c>
      <c r="I686" s="291">
        <v>236495</v>
      </c>
      <c r="J686" s="291">
        <v>-236495</v>
      </c>
      <c r="K686" s="289" t="s">
        <v>1731</v>
      </c>
      <c r="L686" s="288" t="s">
        <v>1732</v>
      </c>
      <c r="M686" s="288" t="s">
        <v>1733</v>
      </c>
      <c r="N686" s="288" t="s">
        <v>1734</v>
      </c>
      <c r="O686" s="289" t="s">
        <v>1791</v>
      </c>
      <c r="P686" s="292"/>
    </row>
    <row r="687" spans="1:16" hidden="1" x14ac:dyDescent="0.25">
      <c r="A687" s="287" t="s">
        <v>3442</v>
      </c>
      <c r="B687" s="311" t="s">
        <v>3443</v>
      </c>
      <c r="C687" s="62"/>
      <c r="D687" s="288" t="s">
        <v>3444</v>
      </c>
      <c r="E687" s="288" t="s">
        <v>1741</v>
      </c>
      <c r="F687" s="289"/>
      <c r="G687" s="290">
        <v>45558</v>
      </c>
      <c r="H687" s="291">
        <v>45000</v>
      </c>
      <c r="I687" s="291">
        <v>45000</v>
      </c>
      <c r="J687" s="291">
        <v>-45000</v>
      </c>
      <c r="K687" s="289" t="s">
        <v>1731</v>
      </c>
      <c r="L687" s="288" t="s">
        <v>1773</v>
      </c>
      <c r="M687" s="288" t="s">
        <v>1774</v>
      </c>
      <c r="N687" s="288" t="s">
        <v>1734</v>
      </c>
      <c r="O687" s="289" t="s">
        <v>1791</v>
      </c>
      <c r="P687" s="292"/>
    </row>
    <row r="688" spans="1:16" hidden="1" x14ac:dyDescent="0.25">
      <c r="A688" s="287" t="s">
        <v>3445</v>
      </c>
      <c r="B688" s="311" t="s">
        <v>3446</v>
      </c>
      <c r="C688" s="62"/>
      <c r="D688" s="288" t="s">
        <v>3447</v>
      </c>
      <c r="E688" s="288" t="s">
        <v>3448</v>
      </c>
      <c r="F688" s="289"/>
      <c r="G688" s="290">
        <v>45558</v>
      </c>
      <c r="H688" s="291">
        <v>431250</v>
      </c>
      <c r="I688" s="291">
        <v>431250</v>
      </c>
      <c r="J688" s="291">
        <v>-431250</v>
      </c>
      <c r="K688" s="289" t="s">
        <v>1731</v>
      </c>
      <c r="L688" s="288" t="s">
        <v>1773</v>
      </c>
      <c r="M688" s="288" t="s">
        <v>1774</v>
      </c>
      <c r="N688" s="288" t="s">
        <v>1734</v>
      </c>
      <c r="O688" s="289" t="s">
        <v>1791</v>
      </c>
      <c r="P688" s="292"/>
    </row>
    <row r="689" spans="1:16" hidden="1" x14ac:dyDescent="0.25">
      <c r="A689" s="287" t="s">
        <v>3449</v>
      </c>
      <c r="B689" s="311" t="s">
        <v>3450</v>
      </c>
      <c r="C689" s="62"/>
      <c r="D689" s="288" t="s">
        <v>3451</v>
      </c>
      <c r="E689" s="288" t="s">
        <v>1741</v>
      </c>
      <c r="F689" s="289"/>
      <c r="G689" s="290">
        <v>45559</v>
      </c>
      <c r="H689" s="291">
        <v>68280</v>
      </c>
      <c r="I689" s="291">
        <v>68280</v>
      </c>
      <c r="J689" s="291">
        <v>-68280</v>
      </c>
      <c r="K689" s="289" t="s">
        <v>1731</v>
      </c>
      <c r="L689" s="288" t="s">
        <v>1732</v>
      </c>
      <c r="M689" s="288" t="s">
        <v>1733</v>
      </c>
      <c r="N689" s="288" t="s">
        <v>1734</v>
      </c>
      <c r="O689" s="289" t="s">
        <v>1791</v>
      </c>
      <c r="P689" s="292"/>
    </row>
    <row r="690" spans="1:16" hidden="1" x14ac:dyDescent="0.25">
      <c r="A690" s="287" t="s">
        <v>3452</v>
      </c>
      <c r="B690" s="311" t="s">
        <v>3453</v>
      </c>
      <c r="C690" s="62"/>
      <c r="D690" s="288" t="s">
        <v>3454</v>
      </c>
      <c r="E690" s="288" t="s">
        <v>1741</v>
      </c>
      <c r="F690" s="289"/>
      <c r="G690" s="290">
        <v>45562</v>
      </c>
      <c r="H690" s="291">
        <v>90000</v>
      </c>
      <c r="I690" s="291">
        <v>90000</v>
      </c>
      <c r="J690" s="291">
        <v>-90000</v>
      </c>
      <c r="K690" s="289" t="s">
        <v>1731</v>
      </c>
      <c r="L690" s="288" t="s">
        <v>1773</v>
      </c>
      <c r="M690" s="288" t="s">
        <v>1774</v>
      </c>
      <c r="N690" s="288" t="s">
        <v>1734</v>
      </c>
      <c r="O690" s="289" t="s">
        <v>1791</v>
      </c>
      <c r="P690" s="292"/>
    </row>
    <row r="691" spans="1:16" hidden="1" x14ac:dyDescent="0.25">
      <c r="A691" s="287" t="s">
        <v>3455</v>
      </c>
      <c r="B691" s="311" t="s">
        <v>3456</v>
      </c>
      <c r="C691" s="62"/>
      <c r="D691" s="288" t="s">
        <v>3457</v>
      </c>
      <c r="E691" s="288" t="s">
        <v>3458</v>
      </c>
      <c r="F691" s="289"/>
      <c r="G691" s="290">
        <v>45544</v>
      </c>
      <c r="H691" s="291">
        <v>26250</v>
      </c>
      <c r="I691" s="291">
        <v>26250</v>
      </c>
      <c r="J691" s="291">
        <v>-26250</v>
      </c>
      <c r="K691" s="289" t="s">
        <v>1731</v>
      </c>
      <c r="L691" s="288" t="s">
        <v>1773</v>
      </c>
      <c r="M691" s="288" t="s">
        <v>1774</v>
      </c>
      <c r="N691" s="288" t="s">
        <v>1734</v>
      </c>
      <c r="O691" s="289" t="s">
        <v>1791</v>
      </c>
      <c r="P691" s="292"/>
    </row>
    <row r="692" spans="1:16" ht="26.25" hidden="1" x14ac:dyDescent="0.25">
      <c r="A692" s="287" t="s">
        <v>3459</v>
      </c>
      <c r="B692" s="311" t="s">
        <v>3460</v>
      </c>
      <c r="C692" s="62"/>
      <c r="D692" s="288" t="s">
        <v>3461</v>
      </c>
      <c r="E692" s="288" t="s">
        <v>1741</v>
      </c>
      <c r="F692" s="289"/>
      <c r="G692" s="290">
        <v>45545</v>
      </c>
      <c r="H692" s="291">
        <v>148802</v>
      </c>
      <c r="I692" s="291">
        <v>148802</v>
      </c>
      <c r="J692" s="291">
        <v>-148802</v>
      </c>
      <c r="K692" s="289" t="s">
        <v>1731</v>
      </c>
      <c r="L692" s="288" t="s">
        <v>1732</v>
      </c>
      <c r="M692" s="288" t="s">
        <v>1733</v>
      </c>
      <c r="N692" s="288" t="s">
        <v>1734</v>
      </c>
      <c r="O692" s="289" t="s">
        <v>1791</v>
      </c>
      <c r="P692" s="292"/>
    </row>
    <row r="693" spans="1:16" hidden="1" x14ac:dyDescent="0.25">
      <c r="A693" s="287" t="s">
        <v>3462</v>
      </c>
      <c r="B693" s="311" t="s">
        <v>3463</v>
      </c>
      <c r="C693" s="62"/>
      <c r="D693" s="288" t="s">
        <v>3464</v>
      </c>
      <c r="E693" s="288" t="s">
        <v>1741</v>
      </c>
      <c r="F693" s="289"/>
      <c r="G693" s="290">
        <v>45552</v>
      </c>
      <c r="H693" s="291">
        <v>25000</v>
      </c>
      <c r="I693" s="291">
        <v>25000</v>
      </c>
      <c r="J693" s="291">
        <v>-25000</v>
      </c>
      <c r="K693" s="289" t="s">
        <v>1731</v>
      </c>
      <c r="L693" s="288" t="s">
        <v>1732</v>
      </c>
      <c r="M693" s="288" t="s">
        <v>1733</v>
      </c>
      <c r="N693" s="288" t="s">
        <v>1734</v>
      </c>
      <c r="O693" s="289" t="s">
        <v>1791</v>
      </c>
      <c r="P693" s="292"/>
    </row>
    <row r="694" spans="1:16" hidden="1" x14ac:dyDescent="0.25">
      <c r="A694" s="287" t="s">
        <v>3465</v>
      </c>
      <c r="B694" s="311" t="s">
        <v>3466</v>
      </c>
      <c r="C694" s="62"/>
      <c r="D694" s="288" t="s">
        <v>3467</v>
      </c>
      <c r="E694" s="288" t="s">
        <v>1741</v>
      </c>
      <c r="F694" s="289"/>
      <c r="G694" s="290">
        <v>45553</v>
      </c>
      <c r="H694" s="291">
        <v>156000</v>
      </c>
      <c r="I694" s="291">
        <v>156000</v>
      </c>
      <c r="J694" s="291">
        <v>-156000</v>
      </c>
      <c r="K694" s="289" t="s">
        <v>1731</v>
      </c>
      <c r="L694" s="288" t="s">
        <v>1732</v>
      </c>
      <c r="M694" s="288" t="s">
        <v>1733</v>
      </c>
      <c r="N694" s="288" t="s">
        <v>1734</v>
      </c>
      <c r="O694" s="289" t="s">
        <v>1791</v>
      </c>
      <c r="P694" s="292"/>
    </row>
    <row r="695" spans="1:16" hidden="1" x14ac:dyDescent="0.25">
      <c r="A695" s="287" t="s">
        <v>3468</v>
      </c>
      <c r="B695" s="311" t="s">
        <v>3469</v>
      </c>
      <c r="C695" s="62"/>
      <c r="D695" s="288" t="s">
        <v>3470</v>
      </c>
      <c r="E695" s="288" t="s">
        <v>1741</v>
      </c>
      <c r="F695" s="289"/>
      <c r="G695" s="290">
        <v>45555</v>
      </c>
      <c r="H695" s="291">
        <v>16910.5</v>
      </c>
      <c r="I695" s="291">
        <v>16910.5</v>
      </c>
      <c r="J695" s="291">
        <v>-16910.5</v>
      </c>
      <c r="K695" s="289" t="s">
        <v>1731</v>
      </c>
      <c r="L695" s="288" t="s">
        <v>1732</v>
      </c>
      <c r="M695" s="288" t="s">
        <v>1733</v>
      </c>
      <c r="N695" s="288" t="s">
        <v>1734</v>
      </c>
      <c r="O695" s="289" t="s">
        <v>1791</v>
      </c>
      <c r="P695" s="292"/>
    </row>
    <row r="696" spans="1:16" hidden="1" x14ac:dyDescent="0.25">
      <c r="A696" s="287" t="s">
        <v>3471</v>
      </c>
      <c r="B696" s="311" t="s">
        <v>3472</v>
      </c>
      <c r="C696" s="62"/>
      <c r="D696" s="288" t="s">
        <v>3473</v>
      </c>
      <c r="E696" s="288" t="s">
        <v>3474</v>
      </c>
      <c r="F696" s="289">
        <v>8000725607</v>
      </c>
      <c r="G696" s="290">
        <v>46016</v>
      </c>
      <c r="H696" s="291">
        <v>7400</v>
      </c>
      <c r="I696" s="291">
        <v>7400</v>
      </c>
      <c r="J696" s="291">
        <v>0</v>
      </c>
      <c r="K696" s="289" t="s">
        <v>1731</v>
      </c>
      <c r="L696" s="288" t="s">
        <v>1773</v>
      </c>
      <c r="M696" s="288" t="s">
        <v>1774</v>
      </c>
      <c r="N696" s="288" t="s">
        <v>1734</v>
      </c>
      <c r="O696" s="289" t="s">
        <v>1737</v>
      </c>
      <c r="P696" s="292"/>
    </row>
    <row r="697" spans="1:16" hidden="1" x14ac:dyDescent="0.25">
      <c r="A697" s="287" t="s">
        <v>3475</v>
      </c>
      <c r="B697" s="311" t="s">
        <v>3476</v>
      </c>
      <c r="C697" s="62"/>
      <c r="D697" s="288" t="s">
        <v>3477</v>
      </c>
      <c r="E697" s="288" t="s">
        <v>2106</v>
      </c>
      <c r="F697" s="289">
        <v>8000725522</v>
      </c>
      <c r="G697" s="290">
        <v>45720</v>
      </c>
      <c r="H697" s="291">
        <v>164.59</v>
      </c>
      <c r="I697" s="291">
        <v>164.59</v>
      </c>
      <c r="J697" s="291">
        <v>-164.59</v>
      </c>
      <c r="K697" s="289" t="s">
        <v>1731</v>
      </c>
      <c r="L697" s="288" t="s">
        <v>1732</v>
      </c>
      <c r="M697" s="288" t="s">
        <v>1733</v>
      </c>
      <c r="N697" s="288" t="s">
        <v>1734</v>
      </c>
      <c r="O697" s="289" t="s">
        <v>1879</v>
      </c>
      <c r="P697" s="292"/>
    </row>
    <row r="698" spans="1:16" hidden="1" x14ac:dyDescent="0.25">
      <c r="A698" s="287" t="s">
        <v>3475</v>
      </c>
      <c r="B698" s="311" t="s">
        <v>3476</v>
      </c>
      <c r="C698" s="62"/>
      <c r="D698" s="288" t="s">
        <v>3477</v>
      </c>
      <c r="E698" s="288" t="s">
        <v>3478</v>
      </c>
      <c r="F698" s="289">
        <v>8000725602</v>
      </c>
      <c r="G698" s="290">
        <v>45736</v>
      </c>
      <c r="H698" s="291">
        <v>1036.8</v>
      </c>
      <c r="I698" s="291">
        <v>1036.8</v>
      </c>
      <c r="J698" s="291">
        <v>-1036.8</v>
      </c>
      <c r="K698" s="289" t="s">
        <v>1731</v>
      </c>
      <c r="L698" s="288" t="s">
        <v>1732</v>
      </c>
      <c r="M698" s="288" t="s">
        <v>1733</v>
      </c>
      <c r="N698" s="288" t="s">
        <v>1734</v>
      </c>
      <c r="O698" s="289" t="s">
        <v>3479</v>
      </c>
      <c r="P698" s="292"/>
    </row>
    <row r="699" spans="1:16" hidden="1" x14ac:dyDescent="0.25">
      <c r="A699" s="287" t="s">
        <v>3480</v>
      </c>
      <c r="B699" s="311" t="s">
        <v>3481</v>
      </c>
      <c r="C699" s="62"/>
      <c r="D699" s="288" t="s">
        <v>3482</v>
      </c>
      <c r="E699" s="288" t="s">
        <v>3483</v>
      </c>
      <c r="F699" s="289">
        <v>8000726148</v>
      </c>
      <c r="G699" s="290">
        <v>45638</v>
      </c>
      <c r="H699" s="291">
        <v>0.01</v>
      </c>
      <c r="I699" s="291">
        <v>0.01</v>
      </c>
      <c r="J699" s="291">
        <v>-0.01</v>
      </c>
      <c r="K699" s="289" t="s">
        <v>1731</v>
      </c>
      <c r="L699" s="288" t="s">
        <v>1732</v>
      </c>
      <c r="M699" s="288" t="s">
        <v>1733</v>
      </c>
      <c r="N699" s="288" t="s">
        <v>1734</v>
      </c>
      <c r="O699" s="289" t="s">
        <v>2860</v>
      </c>
      <c r="P699" s="292"/>
    </row>
    <row r="700" spans="1:16" hidden="1" x14ac:dyDescent="0.25">
      <c r="A700" s="287" t="s">
        <v>3484</v>
      </c>
      <c r="B700" s="311" t="s">
        <v>3485</v>
      </c>
      <c r="C700" s="62"/>
      <c r="D700" s="288" t="s">
        <v>3486</v>
      </c>
      <c r="E700" s="288" t="s">
        <v>3487</v>
      </c>
      <c r="F700" s="289">
        <v>8000725721</v>
      </c>
      <c r="G700" s="290">
        <v>45744</v>
      </c>
      <c r="H700" s="291">
        <v>238848</v>
      </c>
      <c r="I700" s="291">
        <v>238848</v>
      </c>
      <c r="J700" s="291">
        <v>-238848</v>
      </c>
      <c r="K700" s="289" t="s">
        <v>1731</v>
      </c>
      <c r="L700" s="288" t="s">
        <v>1732</v>
      </c>
      <c r="M700" s="288" t="s">
        <v>1733</v>
      </c>
      <c r="N700" s="288" t="s">
        <v>1734</v>
      </c>
      <c r="O700" s="289" t="s">
        <v>2305</v>
      </c>
      <c r="P700" s="292"/>
    </row>
    <row r="701" spans="1:16" hidden="1" x14ac:dyDescent="0.25">
      <c r="A701" s="287" t="s">
        <v>3488</v>
      </c>
      <c r="B701" s="311" t="s">
        <v>3489</v>
      </c>
      <c r="C701" s="62"/>
      <c r="D701" s="288" t="s">
        <v>3490</v>
      </c>
      <c r="E701" s="288" t="s">
        <v>3491</v>
      </c>
      <c r="F701" s="289"/>
      <c r="G701" s="290">
        <v>45572</v>
      </c>
      <c r="H701" s="291">
        <v>39000</v>
      </c>
      <c r="I701" s="291">
        <v>39000</v>
      </c>
      <c r="J701" s="291">
        <v>-39000</v>
      </c>
      <c r="K701" s="289" t="s">
        <v>1731</v>
      </c>
      <c r="L701" s="288" t="s">
        <v>1773</v>
      </c>
      <c r="M701" s="288" t="s">
        <v>1774</v>
      </c>
      <c r="N701" s="288" t="s">
        <v>1734</v>
      </c>
      <c r="O701" s="289" t="s">
        <v>1791</v>
      </c>
      <c r="P701" s="292"/>
    </row>
    <row r="702" spans="1:16" hidden="1" x14ac:dyDescent="0.25">
      <c r="A702" s="287" t="s">
        <v>3492</v>
      </c>
      <c r="B702" s="311" t="s">
        <v>3493</v>
      </c>
      <c r="C702" s="62"/>
      <c r="D702" s="288" t="s">
        <v>3494</v>
      </c>
      <c r="E702" s="288" t="s">
        <v>3495</v>
      </c>
      <c r="F702" s="289"/>
      <c r="G702" s="290">
        <v>45572</v>
      </c>
      <c r="H702" s="291">
        <v>40000</v>
      </c>
      <c r="I702" s="291">
        <v>40000</v>
      </c>
      <c r="J702" s="291">
        <v>-40000</v>
      </c>
      <c r="K702" s="289" t="s">
        <v>1731</v>
      </c>
      <c r="L702" s="288" t="s">
        <v>1773</v>
      </c>
      <c r="M702" s="288" t="s">
        <v>1774</v>
      </c>
      <c r="N702" s="288" t="s">
        <v>1734</v>
      </c>
      <c r="O702" s="289" t="s">
        <v>1791</v>
      </c>
      <c r="P702" s="292"/>
    </row>
    <row r="703" spans="1:16" hidden="1" x14ac:dyDescent="0.25">
      <c r="A703" s="287" t="s">
        <v>3496</v>
      </c>
      <c r="B703" s="311" t="s">
        <v>3497</v>
      </c>
      <c r="C703" s="62"/>
      <c r="D703" s="288" t="s">
        <v>3498</v>
      </c>
      <c r="E703" s="288" t="s">
        <v>2033</v>
      </c>
      <c r="F703" s="289"/>
      <c r="G703" s="290">
        <v>45596</v>
      </c>
      <c r="H703" s="291">
        <v>325603.99</v>
      </c>
      <c r="I703" s="291">
        <v>325603.99</v>
      </c>
      <c r="J703" s="291">
        <v>-325603.99</v>
      </c>
      <c r="K703" s="289" t="s">
        <v>1731</v>
      </c>
      <c r="L703" s="288" t="s">
        <v>1732</v>
      </c>
      <c r="M703" s="288" t="s">
        <v>1733</v>
      </c>
      <c r="N703" s="288" t="s">
        <v>1734</v>
      </c>
      <c r="O703" s="289" t="s">
        <v>1791</v>
      </c>
      <c r="P703" s="292"/>
    </row>
    <row r="704" spans="1:16" hidden="1" x14ac:dyDescent="0.25">
      <c r="A704" s="287" t="s">
        <v>3496</v>
      </c>
      <c r="B704" s="311" t="s">
        <v>3497</v>
      </c>
      <c r="C704" s="62"/>
      <c r="D704" s="288" t="s">
        <v>3498</v>
      </c>
      <c r="E704" s="288" t="s">
        <v>1741</v>
      </c>
      <c r="F704" s="289"/>
      <c r="G704" s="290">
        <v>45589</v>
      </c>
      <c r="H704" s="291">
        <v>646367.5</v>
      </c>
      <c r="I704" s="291">
        <v>646367.5</v>
      </c>
      <c r="J704" s="291">
        <v>-646367.5</v>
      </c>
      <c r="K704" s="289" t="s">
        <v>1731</v>
      </c>
      <c r="L704" s="288" t="s">
        <v>1732</v>
      </c>
      <c r="M704" s="288" t="s">
        <v>1733</v>
      </c>
      <c r="N704" s="288" t="s">
        <v>1734</v>
      </c>
      <c r="O704" s="289" t="s">
        <v>1791</v>
      </c>
      <c r="P704" s="292"/>
    </row>
    <row r="705" spans="1:17" hidden="1" x14ac:dyDescent="0.25">
      <c r="A705" s="287" t="s">
        <v>3499</v>
      </c>
      <c r="B705" s="311" t="s">
        <v>3500</v>
      </c>
      <c r="C705" s="62"/>
      <c r="D705" s="288" t="s">
        <v>3501</v>
      </c>
      <c r="E705" s="288" t="s">
        <v>1741</v>
      </c>
      <c r="F705" s="289"/>
      <c r="G705" s="290">
        <v>45589</v>
      </c>
      <c r="H705" s="291">
        <v>168201.60000000001</v>
      </c>
      <c r="I705" s="291">
        <v>168201.60000000001</v>
      </c>
      <c r="J705" s="291">
        <v>-168201.60000000001</v>
      </c>
      <c r="K705" s="289" t="s">
        <v>1731</v>
      </c>
      <c r="L705" s="288" t="s">
        <v>1732</v>
      </c>
      <c r="M705" s="288" t="s">
        <v>1733</v>
      </c>
      <c r="N705" s="288" t="s">
        <v>1734</v>
      </c>
      <c r="O705" s="289" t="s">
        <v>1791</v>
      </c>
      <c r="P705" s="292"/>
    </row>
    <row r="706" spans="1:17" hidden="1" x14ac:dyDescent="0.25">
      <c r="A706" s="287" t="s">
        <v>3502</v>
      </c>
      <c r="B706" s="311" t="s">
        <v>3503</v>
      </c>
      <c r="C706" s="62"/>
      <c r="D706" s="288" t="s">
        <v>3498</v>
      </c>
      <c r="E706" s="288" t="s">
        <v>1741</v>
      </c>
      <c r="F706" s="289"/>
      <c r="G706" s="290">
        <v>45588</v>
      </c>
      <c r="H706" s="291">
        <v>105804.3</v>
      </c>
      <c r="I706" s="291">
        <v>105804.3</v>
      </c>
      <c r="J706" s="291">
        <v>-926.1</v>
      </c>
      <c r="K706" s="289" t="s">
        <v>1731</v>
      </c>
      <c r="L706" s="288" t="s">
        <v>1732</v>
      </c>
      <c r="M706" s="288" t="s">
        <v>1733</v>
      </c>
      <c r="N706" s="288" t="s">
        <v>1734</v>
      </c>
      <c r="O706" s="289" t="s">
        <v>1791</v>
      </c>
      <c r="P706" s="292"/>
    </row>
    <row r="707" spans="1:17" hidden="1" x14ac:dyDescent="0.25">
      <c r="A707" s="287" t="s">
        <v>3504</v>
      </c>
      <c r="B707" s="311" t="s">
        <v>3505</v>
      </c>
      <c r="C707" s="62"/>
      <c r="D707" s="288" t="s">
        <v>3506</v>
      </c>
      <c r="E707" s="288" t="s">
        <v>3507</v>
      </c>
      <c r="F707" s="289"/>
      <c r="G707" s="290">
        <v>45594</v>
      </c>
      <c r="H707" s="291">
        <v>403682</v>
      </c>
      <c r="I707" s="291">
        <v>403682</v>
      </c>
      <c r="J707" s="291">
        <v>0</v>
      </c>
      <c r="K707" s="289" t="s">
        <v>1731</v>
      </c>
      <c r="L707" s="288" t="s">
        <v>1732</v>
      </c>
      <c r="M707" s="288" t="s">
        <v>1733</v>
      </c>
      <c r="N707" s="288" t="s">
        <v>1734</v>
      </c>
      <c r="O707" s="289" t="s">
        <v>1791</v>
      </c>
      <c r="P707" s="292"/>
    </row>
    <row r="708" spans="1:17" hidden="1" x14ac:dyDescent="0.25">
      <c r="A708" s="287" t="s">
        <v>3508</v>
      </c>
      <c r="B708" s="311" t="s">
        <v>3509</v>
      </c>
      <c r="C708" s="62"/>
      <c r="D708" s="288" t="s">
        <v>3510</v>
      </c>
      <c r="E708" s="288" t="s">
        <v>1741</v>
      </c>
      <c r="F708" s="289"/>
      <c r="G708" s="290">
        <v>45594</v>
      </c>
      <c r="H708" s="291">
        <v>80000</v>
      </c>
      <c r="I708" s="291">
        <v>80000</v>
      </c>
      <c r="J708" s="291">
        <v>-80000</v>
      </c>
      <c r="K708" s="289" t="s">
        <v>1731</v>
      </c>
      <c r="L708" s="288" t="s">
        <v>1773</v>
      </c>
      <c r="M708" s="288" t="s">
        <v>1774</v>
      </c>
      <c r="N708" s="288" t="s">
        <v>1734</v>
      </c>
      <c r="O708" s="289" t="s">
        <v>1791</v>
      </c>
      <c r="P708" s="292"/>
    </row>
    <row r="709" spans="1:17" hidden="1" x14ac:dyDescent="0.25">
      <c r="A709" s="287" t="s">
        <v>3511</v>
      </c>
      <c r="B709" s="311" t="s">
        <v>3512</v>
      </c>
      <c r="C709" s="62"/>
      <c r="D709" s="288" t="s">
        <v>3513</v>
      </c>
      <c r="E709" s="288" t="s">
        <v>3514</v>
      </c>
      <c r="F709" s="289">
        <v>8000738086</v>
      </c>
      <c r="G709" s="290">
        <v>46016</v>
      </c>
      <c r="H709" s="291">
        <v>450000</v>
      </c>
      <c r="I709" s="291">
        <v>450000</v>
      </c>
      <c r="J709" s="291">
        <v>0</v>
      </c>
      <c r="K709" s="289" t="s">
        <v>1731</v>
      </c>
      <c r="L709" s="288" t="s">
        <v>2164</v>
      </c>
      <c r="M709" s="288" t="s">
        <v>2165</v>
      </c>
      <c r="N709" s="288" t="s">
        <v>1734</v>
      </c>
      <c r="O709" s="289" t="s">
        <v>1918</v>
      </c>
      <c r="P709" s="292"/>
    </row>
    <row r="710" spans="1:17" hidden="1" x14ac:dyDescent="0.25">
      <c r="A710" s="287" t="s">
        <v>3515</v>
      </c>
      <c r="B710" s="311" t="s">
        <v>3516</v>
      </c>
      <c r="C710" s="62"/>
      <c r="D710" s="288" t="s">
        <v>3517</v>
      </c>
      <c r="E710" s="288" t="s">
        <v>1741</v>
      </c>
      <c r="F710" s="289"/>
      <c r="G710" s="290">
        <v>45567</v>
      </c>
      <c r="H710" s="291">
        <v>9000</v>
      </c>
      <c r="I710" s="291">
        <v>9000</v>
      </c>
      <c r="J710" s="291">
        <v>-9000</v>
      </c>
      <c r="K710" s="289" t="s">
        <v>1731</v>
      </c>
      <c r="L710" s="288" t="s">
        <v>1773</v>
      </c>
      <c r="M710" s="288" t="s">
        <v>1774</v>
      </c>
      <c r="N710" s="288" t="s">
        <v>1734</v>
      </c>
      <c r="O710" s="289" t="s">
        <v>1791</v>
      </c>
      <c r="P710" s="292"/>
    </row>
    <row r="711" spans="1:17" hidden="1" x14ac:dyDescent="0.25">
      <c r="A711" s="287" t="s">
        <v>3518</v>
      </c>
      <c r="B711" s="311" t="s">
        <v>3519</v>
      </c>
      <c r="C711" s="62"/>
      <c r="D711" s="288" t="s">
        <v>3520</v>
      </c>
      <c r="E711" s="288" t="s">
        <v>3521</v>
      </c>
      <c r="F711" s="289"/>
      <c r="G711" s="290">
        <v>45572</v>
      </c>
      <c r="H711" s="291">
        <v>50000</v>
      </c>
      <c r="I711" s="291">
        <v>50000</v>
      </c>
      <c r="J711" s="291">
        <v>-50000</v>
      </c>
      <c r="K711" s="289" t="s">
        <v>1731</v>
      </c>
      <c r="L711" s="288" t="s">
        <v>1732</v>
      </c>
      <c r="M711" s="288" t="s">
        <v>1733</v>
      </c>
      <c r="N711" s="288" t="s">
        <v>1734</v>
      </c>
      <c r="O711" s="289" t="s">
        <v>1791</v>
      </c>
      <c r="P711" s="292"/>
    </row>
    <row r="712" spans="1:17" hidden="1" x14ac:dyDescent="0.25">
      <c r="A712" s="287" t="s">
        <v>3522</v>
      </c>
      <c r="B712" s="311" t="s">
        <v>3523</v>
      </c>
      <c r="C712" s="62"/>
      <c r="D712" s="288" t="s">
        <v>3524</v>
      </c>
      <c r="E712" s="288" t="s">
        <v>1741</v>
      </c>
      <c r="F712" s="289"/>
      <c r="G712" s="290">
        <v>45573</v>
      </c>
      <c r="H712" s="291">
        <v>271018</v>
      </c>
      <c r="I712" s="291">
        <v>271018</v>
      </c>
      <c r="J712" s="291">
        <v>-271018</v>
      </c>
      <c r="K712" s="289" t="s">
        <v>1731</v>
      </c>
      <c r="L712" s="288" t="s">
        <v>1732</v>
      </c>
      <c r="M712" s="288" t="s">
        <v>1733</v>
      </c>
      <c r="N712" s="288" t="s">
        <v>1734</v>
      </c>
      <c r="O712" s="289" t="s">
        <v>1791</v>
      </c>
      <c r="P712" s="292"/>
    </row>
    <row r="713" spans="1:17" hidden="1" x14ac:dyDescent="0.25">
      <c r="A713" s="287" t="s">
        <v>3525</v>
      </c>
      <c r="B713" s="311" t="s">
        <v>3526</v>
      </c>
      <c r="C713" s="62"/>
      <c r="D713" s="288" t="s">
        <v>3527</v>
      </c>
      <c r="E713" s="288" t="s">
        <v>3528</v>
      </c>
      <c r="F713" s="289">
        <v>8000725628</v>
      </c>
      <c r="G713" s="290">
        <v>45744</v>
      </c>
      <c r="H713" s="291">
        <v>923877.05</v>
      </c>
      <c r="I713" s="291">
        <v>923877.05</v>
      </c>
      <c r="J713" s="291">
        <v>0</v>
      </c>
      <c r="K713" s="289" t="s">
        <v>1731</v>
      </c>
      <c r="L713" s="288" t="s">
        <v>1732</v>
      </c>
      <c r="M713" s="288" t="s">
        <v>1733</v>
      </c>
      <c r="N713" s="288" t="s">
        <v>1734</v>
      </c>
      <c r="O713" s="289" t="s">
        <v>1798</v>
      </c>
      <c r="P713" s="292"/>
    </row>
    <row r="714" spans="1:17" hidden="1" x14ac:dyDescent="0.25">
      <c r="A714" s="287" t="s">
        <v>3529</v>
      </c>
      <c r="B714" s="311" t="s">
        <v>3530</v>
      </c>
      <c r="C714" s="62"/>
      <c r="D714" s="288" t="s">
        <v>3531</v>
      </c>
      <c r="E714" s="288"/>
      <c r="F714" s="289"/>
      <c r="G714" s="290">
        <v>45617</v>
      </c>
      <c r="H714" s="291">
        <v>68000</v>
      </c>
      <c r="I714" s="291">
        <v>68000</v>
      </c>
      <c r="J714" s="291">
        <v>-68000</v>
      </c>
      <c r="K714" s="289" t="s">
        <v>1731</v>
      </c>
      <c r="L714" s="288" t="s">
        <v>1773</v>
      </c>
      <c r="M714" s="288" t="s">
        <v>1774</v>
      </c>
      <c r="N714" s="288" t="s">
        <v>1734</v>
      </c>
      <c r="O714" s="289" t="s">
        <v>1791</v>
      </c>
      <c r="P714" s="292"/>
    </row>
    <row r="715" spans="1:17" s="364" customFormat="1" ht="120" x14ac:dyDescent="0.25">
      <c r="A715" s="293" t="s">
        <v>3532</v>
      </c>
      <c r="B715" s="312" t="s">
        <v>3533</v>
      </c>
      <c r="C715" s="216" t="s">
        <v>4441</v>
      </c>
      <c r="D715" s="294" t="s">
        <v>3534</v>
      </c>
      <c r="E715" s="294" t="s">
        <v>701</v>
      </c>
      <c r="F715" s="295">
        <v>8000752550</v>
      </c>
      <c r="G715" s="296">
        <v>45862</v>
      </c>
      <c r="H715" s="297">
        <v>3185680.98</v>
      </c>
      <c r="I715" s="297">
        <v>3185680.98</v>
      </c>
      <c r="J715" s="297">
        <v>0</v>
      </c>
      <c r="K715" s="295" t="s">
        <v>1731</v>
      </c>
      <c r="L715" s="294" t="s">
        <v>1773</v>
      </c>
      <c r="M715" s="294" t="s">
        <v>1774</v>
      </c>
      <c r="N715" s="294" t="s">
        <v>1734</v>
      </c>
      <c r="O715" s="295" t="s">
        <v>3076</v>
      </c>
      <c r="P715" s="298"/>
      <c r="Q715" s="364">
        <v>1</v>
      </c>
    </row>
    <row r="716" spans="1:17" hidden="1" x14ac:dyDescent="0.25">
      <c r="A716" s="287" t="s">
        <v>3535</v>
      </c>
      <c r="B716" s="311" t="s">
        <v>3536</v>
      </c>
      <c r="C716" s="62"/>
      <c r="D716" s="288" t="s">
        <v>3537</v>
      </c>
      <c r="E716" s="288" t="s">
        <v>1741</v>
      </c>
      <c r="F716" s="289"/>
      <c r="G716" s="290">
        <v>45617</v>
      </c>
      <c r="H716" s="291">
        <v>100000</v>
      </c>
      <c r="I716" s="291">
        <v>100000</v>
      </c>
      <c r="J716" s="291">
        <v>-100000</v>
      </c>
      <c r="K716" s="289" t="s">
        <v>1731</v>
      </c>
      <c r="L716" s="288" t="s">
        <v>1773</v>
      </c>
      <c r="M716" s="288" t="s">
        <v>1774</v>
      </c>
      <c r="N716" s="288" t="s">
        <v>1734</v>
      </c>
      <c r="O716" s="289" t="s">
        <v>1791</v>
      </c>
      <c r="P716" s="292"/>
    </row>
    <row r="717" spans="1:17" hidden="1" x14ac:dyDescent="0.25">
      <c r="A717" s="287" t="s">
        <v>3538</v>
      </c>
      <c r="B717" s="311" t="s">
        <v>3539</v>
      </c>
      <c r="C717" s="62"/>
      <c r="D717" s="288" t="s">
        <v>3540</v>
      </c>
      <c r="E717" s="288" t="s">
        <v>3541</v>
      </c>
      <c r="F717" s="289">
        <v>4000246025</v>
      </c>
      <c r="G717" s="290">
        <v>46073</v>
      </c>
      <c r="H717" s="291">
        <v>932085.37</v>
      </c>
      <c r="I717" s="291">
        <v>932085.37</v>
      </c>
      <c r="J717" s="291">
        <v>0</v>
      </c>
      <c r="K717" s="289" t="s">
        <v>1731</v>
      </c>
      <c r="L717" s="288" t="s">
        <v>1754</v>
      </c>
      <c r="M717" s="288" t="s">
        <v>1755</v>
      </c>
      <c r="N717" s="288" t="s">
        <v>1751</v>
      </c>
      <c r="O717" s="289" t="s">
        <v>2589</v>
      </c>
      <c r="P717" s="292"/>
    </row>
    <row r="718" spans="1:17" hidden="1" x14ac:dyDescent="0.25">
      <c r="A718" s="287" t="s">
        <v>3542</v>
      </c>
      <c r="B718" s="311" t="s">
        <v>3543</v>
      </c>
      <c r="C718" s="62"/>
      <c r="D718" s="288" t="s">
        <v>3544</v>
      </c>
      <c r="E718" s="288"/>
      <c r="F718" s="289"/>
      <c r="G718" s="290">
        <v>45629</v>
      </c>
      <c r="H718" s="291">
        <v>200000</v>
      </c>
      <c r="I718" s="291">
        <v>200000</v>
      </c>
      <c r="J718" s="291">
        <v>-200000</v>
      </c>
      <c r="K718" s="289" t="s">
        <v>1731</v>
      </c>
      <c r="L718" s="288" t="s">
        <v>1773</v>
      </c>
      <c r="M718" s="288" t="s">
        <v>1774</v>
      </c>
      <c r="N718" s="288" t="s">
        <v>1734</v>
      </c>
      <c r="O718" s="289" t="s">
        <v>1791</v>
      </c>
      <c r="P718" s="292"/>
    </row>
    <row r="719" spans="1:17" hidden="1" x14ac:dyDescent="0.25">
      <c r="A719" s="287" t="s">
        <v>3545</v>
      </c>
      <c r="B719" s="311" t="s">
        <v>3546</v>
      </c>
      <c r="C719" s="62"/>
      <c r="D719" s="288" t="s">
        <v>3547</v>
      </c>
      <c r="E719" s="288" t="s">
        <v>3548</v>
      </c>
      <c r="F719" s="289">
        <v>8000725576</v>
      </c>
      <c r="G719" s="290">
        <v>45730</v>
      </c>
      <c r="H719" s="291">
        <v>39.96</v>
      </c>
      <c r="I719" s="291">
        <v>39.96</v>
      </c>
      <c r="J719" s="291">
        <v>-39.96</v>
      </c>
      <c r="K719" s="289" t="s">
        <v>1731</v>
      </c>
      <c r="L719" s="288" t="s">
        <v>1732</v>
      </c>
      <c r="M719" s="288" t="s">
        <v>1733</v>
      </c>
      <c r="N719" s="288" t="s">
        <v>1734</v>
      </c>
      <c r="O719" s="289" t="s">
        <v>2089</v>
      </c>
      <c r="P719" s="292"/>
    </row>
    <row r="720" spans="1:17" hidden="1" x14ac:dyDescent="0.25">
      <c r="A720" s="287" t="s">
        <v>3549</v>
      </c>
      <c r="B720" s="311" t="s">
        <v>3550</v>
      </c>
      <c r="C720" s="62"/>
      <c r="D720" s="288" t="s">
        <v>3551</v>
      </c>
      <c r="E720" s="288"/>
      <c r="F720" s="289"/>
      <c r="G720" s="290">
        <v>45701</v>
      </c>
      <c r="H720" s="291">
        <v>13860</v>
      </c>
      <c r="I720" s="291">
        <v>13860</v>
      </c>
      <c r="J720" s="291">
        <v>-13860</v>
      </c>
      <c r="K720" s="289" t="s">
        <v>1731</v>
      </c>
      <c r="L720" s="288" t="s">
        <v>1732</v>
      </c>
      <c r="M720" s="288" t="s">
        <v>1733</v>
      </c>
      <c r="N720" s="288" t="s">
        <v>1734</v>
      </c>
      <c r="O720" s="289" t="s">
        <v>1791</v>
      </c>
      <c r="P720" s="292"/>
    </row>
    <row r="721" spans="1:16" hidden="1" x14ac:dyDescent="0.25">
      <c r="A721" s="287" t="s">
        <v>3549</v>
      </c>
      <c r="B721" s="311" t="s">
        <v>3550</v>
      </c>
      <c r="C721" s="62"/>
      <c r="D721" s="288" t="s">
        <v>3551</v>
      </c>
      <c r="E721" s="288" t="s">
        <v>3552</v>
      </c>
      <c r="F721" s="289">
        <v>8000725839</v>
      </c>
      <c r="G721" s="290">
        <v>45687</v>
      </c>
      <c r="H721" s="291">
        <v>9240</v>
      </c>
      <c r="I721" s="291">
        <v>9240</v>
      </c>
      <c r="J721" s="291">
        <v>-9240</v>
      </c>
      <c r="K721" s="289" t="s">
        <v>1731</v>
      </c>
      <c r="L721" s="288" t="s">
        <v>1732</v>
      </c>
      <c r="M721" s="288" t="s">
        <v>1733</v>
      </c>
      <c r="N721" s="288" t="s">
        <v>1734</v>
      </c>
      <c r="O721" s="289" t="s">
        <v>2089</v>
      </c>
      <c r="P721" s="292"/>
    </row>
    <row r="722" spans="1:16" hidden="1" x14ac:dyDescent="0.25">
      <c r="A722" s="287" t="s">
        <v>3553</v>
      </c>
      <c r="B722" s="311" t="s">
        <v>3554</v>
      </c>
      <c r="C722" s="62"/>
      <c r="D722" s="288" t="s">
        <v>3555</v>
      </c>
      <c r="E722" s="288" t="s">
        <v>3556</v>
      </c>
      <c r="F722" s="289">
        <v>8000726138</v>
      </c>
      <c r="G722" s="290">
        <v>45644</v>
      </c>
      <c r="H722" s="291">
        <v>230000</v>
      </c>
      <c r="I722" s="291">
        <v>230000</v>
      </c>
      <c r="J722" s="291">
        <v>-230000</v>
      </c>
      <c r="K722" s="289" t="s">
        <v>1731</v>
      </c>
      <c r="L722" s="288" t="s">
        <v>1773</v>
      </c>
      <c r="M722" s="288" t="s">
        <v>1774</v>
      </c>
      <c r="N722" s="288" t="s">
        <v>1734</v>
      </c>
      <c r="O722" s="289" t="s">
        <v>2129</v>
      </c>
      <c r="P722" s="292"/>
    </row>
    <row r="723" spans="1:16" hidden="1" x14ac:dyDescent="0.25">
      <c r="A723" s="287" t="s">
        <v>3557</v>
      </c>
      <c r="B723" s="311" t="s">
        <v>3558</v>
      </c>
      <c r="C723" s="62"/>
      <c r="D723" s="288" t="s">
        <v>3559</v>
      </c>
      <c r="E723" s="288" t="s">
        <v>3560</v>
      </c>
      <c r="F723" s="289">
        <v>8000800851</v>
      </c>
      <c r="G723" s="290">
        <v>46051</v>
      </c>
      <c r="H723" s="291">
        <v>894150</v>
      </c>
      <c r="I723" s="291">
        <v>0</v>
      </c>
      <c r="J723" s="291">
        <v>0</v>
      </c>
      <c r="K723" s="289" t="s">
        <v>1731</v>
      </c>
      <c r="L723" s="288" t="s">
        <v>1732</v>
      </c>
      <c r="M723" s="288" t="s">
        <v>1733</v>
      </c>
      <c r="N723" s="288" t="s">
        <v>1734</v>
      </c>
      <c r="O723" s="289" t="s">
        <v>3207</v>
      </c>
      <c r="P723" s="292"/>
    </row>
    <row r="724" spans="1:16" hidden="1" x14ac:dyDescent="0.25">
      <c r="A724" s="287" t="s">
        <v>3561</v>
      </c>
      <c r="B724" s="311" t="s">
        <v>3562</v>
      </c>
      <c r="C724" s="62"/>
      <c r="D724" s="288" t="s">
        <v>3563</v>
      </c>
      <c r="E724" s="288"/>
      <c r="F724" s="289"/>
      <c r="G724" s="290">
        <v>45651</v>
      </c>
      <c r="H724" s="291">
        <v>245000</v>
      </c>
      <c r="I724" s="291">
        <v>245000</v>
      </c>
      <c r="J724" s="291">
        <v>-245000</v>
      </c>
      <c r="K724" s="289" t="s">
        <v>1731</v>
      </c>
      <c r="L724" s="288" t="s">
        <v>1773</v>
      </c>
      <c r="M724" s="288" t="s">
        <v>1774</v>
      </c>
      <c r="N724" s="288" t="s">
        <v>1734</v>
      </c>
      <c r="O724" s="289" t="s">
        <v>1791</v>
      </c>
      <c r="P724" s="292"/>
    </row>
    <row r="725" spans="1:16" hidden="1" x14ac:dyDescent="0.25">
      <c r="A725" s="287" t="s">
        <v>3564</v>
      </c>
      <c r="B725" s="311" t="s">
        <v>3565</v>
      </c>
      <c r="C725" s="62"/>
      <c r="D725" s="288" t="s">
        <v>3566</v>
      </c>
      <c r="E725" s="288"/>
      <c r="F725" s="289"/>
      <c r="G725" s="290">
        <v>45673</v>
      </c>
      <c r="H725" s="291">
        <v>31050</v>
      </c>
      <c r="I725" s="291">
        <v>31050</v>
      </c>
      <c r="J725" s="291">
        <v>-31050</v>
      </c>
      <c r="K725" s="289" t="s">
        <v>1731</v>
      </c>
      <c r="L725" s="288" t="s">
        <v>1773</v>
      </c>
      <c r="M725" s="288" t="s">
        <v>1774</v>
      </c>
      <c r="N725" s="288" t="s">
        <v>1734</v>
      </c>
      <c r="O725" s="289" t="s">
        <v>1791</v>
      </c>
      <c r="P725" s="292"/>
    </row>
    <row r="726" spans="1:16" hidden="1" x14ac:dyDescent="0.25">
      <c r="A726" s="287" t="s">
        <v>3567</v>
      </c>
      <c r="B726" s="311" t="s">
        <v>3568</v>
      </c>
      <c r="C726" s="62"/>
      <c r="D726" s="288" t="s">
        <v>3569</v>
      </c>
      <c r="E726" s="288" t="s">
        <v>3570</v>
      </c>
      <c r="F726" s="289">
        <v>8000725622</v>
      </c>
      <c r="G726" s="290">
        <v>45694</v>
      </c>
      <c r="H726" s="291">
        <v>361391.24</v>
      </c>
      <c r="I726" s="291">
        <v>361391.24</v>
      </c>
      <c r="J726" s="291">
        <v>-361391.24</v>
      </c>
      <c r="K726" s="289" t="s">
        <v>1731</v>
      </c>
      <c r="L726" s="288" t="s">
        <v>1732</v>
      </c>
      <c r="M726" s="288" t="s">
        <v>1733</v>
      </c>
      <c r="N726" s="288" t="s">
        <v>1734</v>
      </c>
      <c r="O726" s="289" t="s">
        <v>1847</v>
      </c>
      <c r="P726" s="292"/>
    </row>
    <row r="727" spans="1:16" hidden="1" x14ac:dyDescent="0.25">
      <c r="A727" s="287" t="s">
        <v>3571</v>
      </c>
      <c r="B727" s="311" t="s">
        <v>3572</v>
      </c>
      <c r="C727" s="62"/>
      <c r="D727" s="288" t="s">
        <v>3573</v>
      </c>
      <c r="E727" s="288"/>
      <c r="F727" s="289"/>
      <c r="G727" s="290">
        <v>45702</v>
      </c>
      <c r="H727" s="291">
        <v>336000</v>
      </c>
      <c r="I727" s="291">
        <v>336000</v>
      </c>
      <c r="J727" s="291">
        <v>-336000</v>
      </c>
      <c r="K727" s="289" t="s">
        <v>1731</v>
      </c>
      <c r="L727" s="288" t="s">
        <v>1773</v>
      </c>
      <c r="M727" s="288" t="s">
        <v>1774</v>
      </c>
      <c r="N727" s="288" t="s">
        <v>1734</v>
      </c>
      <c r="O727" s="289" t="s">
        <v>1791</v>
      </c>
      <c r="P727" s="292"/>
    </row>
    <row r="728" spans="1:16" hidden="1" x14ac:dyDescent="0.25">
      <c r="A728" s="287" t="s">
        <v>3571</v>
      </c>
      <c r="B728" s="311" t="s">
        <v>3572</v>
      </c>
      <c r="C728" s="62"/>
      <c r="D728" s="288" t="s">
        <v>3573</v>
      </c>
      <c r="E728" s="288" t="s">
        <v>1741</v>
      </c>
      <c r="F728" s="289"/>
      <c r="G728" s="290">
        <v>45652</v>
      </c>
      <c r="H728" s="291">
        <v>20000</v>
      </c>
      <c r="I728" s="291">
        <v>20000</v>
      </c>
      <c r="J728" s="291">
        <v>-20000</v>
      </c>
      <c r="K728" s="289" t="s">
        <v>1731</v>
      </c>
      <c r="L728" s="288" t="s">
        <v>1773</v>
      </c>
      <c r="M728" s="288" t="s">
        <v>1774</v>
      </c>
      <c r="N728" s="288" t="s">
        <v>1734</v>
      </c>
      <c r="O728" s="289" t="s">
        <v>1791</v>
      </c>
      <c r="P728" s="292"/>
    </row>
    <row r="729" spans="1:16" hidden="1" x14ac:dyDescent="0.25">
      <c r="A729" s="287" t="s">
        <v>3574</v>
      </c>
      <c r="B729" s="311" t="s">
        <v>3575</v>
      </c>
      <c r="C729" s="62"/>
      <c r="D729" s="288" t="s">
        <v>3576</v>
      </c>
      <c r="E729" s="288" t="s">
        <v>1741</v>
      </c>
      <c r="F729" s="289">
        <v>8701754803</v>
      </c>
      <c r="G729" s="290">
        <v>46065</v>
      </c>
      <c r="H729" s="291">
        <v>78832</v>
      </c>
      <c r="I729" s="291">
        <v>78832</v>
      </c>
      <c r="J729" s="291">
        <v>0</v>
      </c>
      <c r="K729" s="289" t="s">
        <v>1731</v>
      </c>
      <c r="L729" s="288" t="s">
        <v>1773</v>
      </c>
      <c r="M729" s="288" t="s">
        <v>1774</v>
      </c>
      <c r="N729" s="288" t="s">
        <v>1734</v>
      </c>
      <c r="O729" s="289" t="s">
        <v>1798</v>
      </c>
      <c r="P729" s="292"/>
    </row>
    <row r="730" spans="1:16" hidden="1" x14ac:dyDescent="0.25">
      <c r="A730" s="287" t="s">
        <v>3574</v>
      </c>
      <c r="B730" s="311" t="s">
        <v>3575</v>
      </c>
      <c r="C730" s="62"/>
      <c r="D730" s="288" t="s">
        <v>3576</v>
      </c>
      <c r="E730" s="288" t="s">
        <v>3577</v>
      </c>
      <c r="F730" s="289">
        <v>8000725779</v>
      </c>
      <c r="G730" s="290">
        <v>45988</v>
      </c>
      <c r="H730" s="291">
        <v>64789</v>
      </c>
      <c r="I730" s="291">
        <v>64789</v>
      </c>
      <c r="J730" s="291">
        <v>0</v>
      </c>
      <c r="K730" s="289" t="s">
        <v>1731</v>
      </c>
      <c r="L730" s="288" t="s">
        <v>1773</v>
      </c>
      <c r="M730" s="288" t="s">
        <v>1774</v>
      </c>
      <c r="N730" s="288" t="s">
        <v>1734</v>
      </c>
      <c r="O730" s="289" t="s">
        <v>2129</v>
      </c>
      <c r="P730" s="292"/>
    </row>
    <row r="731" spans="1:16" hidden="1" x14ac:dyDescent="0.25">
      <c r="A731" s="287" t="s">
        <v>3578</v>
      </c>
      <c r="B731" s="311" t="s">
        <v>3579</v>
      </c>
      <c r="C731" s="62"/>
      <c r="D731" s="288" t="s">
        <v>3580</v>
      </c>
      <c r="E731" s="288" t="s">
        <v>3581</v>
      </c>
      <c r="F731" s="289">
        <v>8000729551</v>
      </c>
      <c r="G731" s="290">
        <v>45974</v>
      </c>
      <c r="H731" s="291">
        <v>17000</v>
      </c>
      <c r="I731" s="291">
        <v>17000</v>
      </c>
      <c r="J731" s="291">
        <v>0</v>
      </c>
      <c r="K731" s="289" t="s">
        <v>1731</v>
      </c>
      <c r="L731" s="288" t="s">
        <v>1773</v>
      </c>
      <c r="M731" s="288" t="s">
        <v>1774</v>
      </c>
      <c r="N731" s="288" t="s">
        <v>1734</v>
      </c>
      <c r="O731" s="289" t="s">
        <v>1782</v>
      </c>
      <c r="P731" s="292"/>
    </row>
    <row r="732" spans="1:16" hidden="1" x14ac:dyDescent="0.25">
      <c r="A732" s="287" t="s">
        <v>3578</v>
      </c>
      <c r="B732" s="311" t="s">
        <v>3579</v>
      </c>
      <c r="C732" s="62"/>
      <c r="D732" s="288" t="s">
        <v>3580</v>
      </c>
      <c r="E732" s="288" t="s">
        <v>3582</v>
      </c>
      <c r="F732" s="289">
        <v>8000781974</v>
      </c>
      <c r="G732" s="290">
        <v>46065</v>
      </c>
      <c r="H732" s="291">
        <v>63000</v>
      </c>
      <c r="I732" s="291">
        <v>63000</v>
      </c>
      <c r="J732" s="291">
        <v>0</v>
      </c>
      <c r="K732" s="289" t="s">
        <v>1731</v>
      </c>
      <c r="L732" s="288" t="s">
        <v>1773</v>
      </c>
      <c r="M732" s="288" t="s">
        <v>1774</v>
      </c>
      <c r="N732" s="288" t="s">
        <v>1734</v>
      </c>
      <c r="O732" s="289" t="s">
        <v>3583</v>
      </c>
      <c r="P732" s="292"/>
    </row>
    <row r="733" spans="1:16" hidden="1" x14ac:dyDescent="0.25">
      <c r="A733" s="287" t="s">
        <v>3584</v>
      </c>
      <c r="B733" s="311" t="s">
        <v>3585</v>
      </c>
      <c r="C733" s="62"/>
      <c r="D733" s="288" t="s">
        <v>3586</v>
      </c>
      <c r="E733" s="288"/>
      <c r="F733" s="289"/>
      <c r="G733" s="290">
        <v>45744</v>
      </c>
      <c r="H733" s="291">
        <v>88637.5</v>
      </c>
      <c r="I733" s="291">
        <v>88637.5</v>
      </c>
      <c r="J733" s="291">
        <v>-88637.5</v>
      </c>
      <c r="K733" s="289" t="s">
        <v>1731</v>
      </c>
      <c r="L733" s="288" t="s">
        <v>1732</v>
      </c>
      <c r="M733" s="288" t="s">
        <v>1733</v>
      </c>
      <c r="N733" s="288" t="s">
        <v>1734</v>
      </c>
      <c r="O733" s="289" t="s">
        <v>1791</v>
      </c>
      <c r="P733" s="292"/>
    </row>
    <row r="734" spans="1:16" hidden="1" x14ac:dyDescent="0.25">
      <c r="A734" s="287" t="s">
        <v>3587</v>
      </c>
      <c r="B734" s="311" t="s">
        <v>3588</v>
      </c>
      <c r="C734" s="62"/>
      <c r="D734" s="288" t="s">
        <v>3589</v>
      </c>
      <c r="E734" s="288" t="s">
        <v>3590</v>
      </c>
      <c r="F734" s="289">
        <v>8000792118</v>
      </c>
      <c r="G734" s="290">
        <v>46002</v>
      </c>
      <c r="H734" s="291">
        <v>128208</v>
      </c>
      <c r="I734" s="291">
        <v>128208</v>
      </c>
      <c r="J734" s="291">
        <v>0</v>
      </c>
      <c r="K734" s="289" t="s">
        <v>1731</v>
      </c>
      <c r="L734" s="288" t="s">
        <v>1773</v>
      </c>
      <c r="M734" s="288" t="s">
        <v>1774</v>
      </c>
      <c r="N734" s="288" t="s">
        <v>1734</v>
      </c>
      <c r="O734" s="289" t="s">
        <v>2004</v>
      </c>
      <c r="P734" s="292"/>
    </row>
    <row r="735" spans="1:16" hidden="1" x14ac:dyDescent="0.25">
      <c r="A735" s="287" t="s">
        <v>3591</v>
      </c>
      <c r="B735" s="311" t="s">
        <v>3592</v>
      </c>
      <c r="C735" s="62"/>
      <c r="D735" s="288" t="s">
        <v>3593</v>
      </c>
      <c r="E735" s="288" t="s">
        <v>3594</v>
      </c>
      <c r="F735" s="289">
        <v>8000725536</v>
      </c>
      <c r="G735" s="290">
        <v>46079</v>
      </c>
      <c r="H735" s="291">
        <v>1840800</v>
      </c>
      <c r="I735" s="291">
        <v>1840800</v>
      </c>
      <c r="J735" s="291">
        <v>0</v>
      </c>
      <c r="K735" s="289" t="s">
        <v>1731</v>
      </c>
      <c r="L735" s="288" t="s">
        <v>1773</v>
      </c>
      <c r="M735" s="288" t="s">
        <v>1774</v>
      </c>
      <c r="N735" s="288" t="s">
        <v>1734</v>
      </c>
      <c r="O735" s="289" t="s">
        <v>1737</v>
      </c>
      <c r="P735" s="292"/>
    </row>
    <row r="736" spans="1:16" hidden="1" x14ac:dyDescent="0.25">
      <c r="A736" s="287" t="s">
        <v>3595</v>
      </c>
      <c r="B736" s="311" t="s">
        <v>3596</v>
      </c>
      <c r="C736" s="62"/>
      <c r="D736" s="288" t="s">
        <v>3597</v>
      </c>
      <c r="E736" s="288"/>
      <c r="F736" s="289">
        <v>8701691302</v>
      </c>
      <c r="G736" s="290">
        <v>45995</v>
      </c>
      <c r="H736" s="291">
        <v>2450</v>
      </c>
      <c r="I736" s="291">
        <v>2450</v>
      </c>
      <c r="J736" s="291">
        <v>0</v>
      </c>
      <c r="K736" s="289" t="s">
        <v>1731</v>
      </c>
      <c r="L736" s="288" t="s">
        <v>1773</v>
      </c>
      <c r="M736" s="288" t="s">
        <v>1774</v>
      </c>
      <c r="N736" s="288" t="s">
        <v>1734</v>
      </c>
      <c r="O736" s="289" t="s">
        <v>3598</v>
      </c>
      <c r="P736" s="292"/>
    </row>
    <row r="737" spans="1:16" hidden="1" x14ac:dyDescent="0.25">
      <c r="A737" s="287" t="s">
        <v>3599</v>
      </c>
      <c r="B737" s="311" t="s">
        <v>3600</v>
      </c>
      <c r="C737" s="62"/>
      <c r="D737" s="288" t="s">
        <v>3601</v>
      </c>
      <c r="E737" s="288"/>
      <c r="F737" s="289"/>
      <c r="G737" s="290">
        <v>45729</v>
      </c>
      <c r="H737" s="291">
        <v>63694.89</v>
      </c>
      <c r="I737" s="291">
        <v>63694.89</v>
      </c>
      <c r="J737" s="291">
        <v>-63694.89</v>
      </c>
      <c r="K737" s="289" t="s">
        <v>1731</v>
      </c>
      <c r="L737" s="288" t="s">
        <v>1732</v>
      </c>
      <c r="M737" s="288" t="s">
        <v>1733</v>
      </c>
      <c r="N737" s="288" t="s">
        <v>1734</v>
      </c>
      <c r="O737" s="289" t="s">
        <v>1791</v>
      </c>
      <c r="P737" s="292"/>
    </row>
    <row r="738" spans="1:16" hidden="1" x14ac:dyDescent="0.25">
      <c r="A738" s="287" t="s">
        <v>3602</v>
      </c>
      <c r="B738" s="311" t="s">
        <v>3603</v>
      </c>
      <c r="C738" s="62"/>
      <c r="D738" s="288" t="s">
        <v>3604</v>
      </c>
      <c r="E738" s="288"/>
      <c r="F738" s="289"/>
      <c r="G738" s="290">
        <v>45734</v>
      </c>
      <c r="H738" s="291">
        <v>85000</v>
      </c>
      <c r="I738" s="291">
        <v>85000</v>
      </c>
      <c r="J738" s="291">
        <v>-85000</v>
      </c>
      <c r="K738" s="289" t="s">
        <v>1731</v>
      </c>
      <c r="L738" s="288" t="s">
        <v>1773</v>
      </c>
      <c r="M738" s="288" t="s">
        <v>1774</v>
      </c>
      <c r="N738" s="288" t="s">
        <v>1734</v>
      </c>
      <c r="O738" s="289" t="s">
        <v>1791</v>
      </c>
      <c r="P738" s="292"/>
    </row>
    <row r="739" spans="1:16" hidden="1" x14ac:dyDescent="0.25">
      <c r="A739" s="287" t="s">
        <v>3602</v>
      </c>
      <c r="B739" s="311" t="s">
        <v>3603</v>
      </c>
      <c r="C739" s="62"/>
      <c r="D739" s="288" t="s">
        <v>3604</v>
      </c>
      <c r="E739" s="288" t="s">
        <v>3605</v>
      </c>
      <c r="F739" s="289">
        <v>8000781683</v>
      </c>
      <c r="G739" s="290">
        <v>46009</v>
      </c>
      <c r="H739" s="291">
        <v>123435</v>
      </c>
      <c r="I739" s="291">
        <v>123435</v>
      </c>
      <c r="J739" s="291">
        <v>0</v>
      </c>
      <c r="K739" s="289" t="s">
        <v>1731</v>
      </c>
      <c r="L739" s="288" t="s">
        <v>1773</v>
      </c>
      <c r="M739" s="288" t="s">
        <v>1774</v>
      </c>
      <c r="N739" s="288" t="s">
        <v>1734</v>
      </c>
      <c r="O739" s="289" t="s">
        <v>1991</v>
      </c>
      <c r="P739" s="292"/>
    </row>
    <row r="740" spans="1:16" hidden="1" x14ac:dyDescent="0.25">
      <c r="A740" s="287" t="s">
        <v>3606</v>
      </c>
      <c r="B740" s="311" t="s">
        <v>3607</v>
      </c>
      <c r="C740" s="62"/>
      <c r="D740" s="288" t="s">
        <v>3608</v>
      </c>
      <c r="E740" s="288" t="s">
        <v>3609</v>
      </c>
      <c r="F740" s="289">
        <v>8000723509</v>
      </c>
      <c r="G740" s="290">
        <v>45987</v>
      </c>
      <c r="H740" s="291">
        <v>-83360</v>
      </c>
      <c r="I740" s="291">
        <v>-83360</v>
      </c>
      <c r="J740" s="291">
        <v>0</v>
      </c>
      <c r="K740" s="289" t="s">
        <v>1731</v>
      </c>
      <c r="L740" s="288" t="s">
        <v>1773</v>
      </c>
      <c r="M740" s="288" t="s">
        <v>1774</v>
      </c>
      <c r="N740" s="288" t="s">
        <v>1734</v>
      </c>
      <c r="O740" s="289" t="s">
        <v>3207</v>
      </c>
      <c r="P740" s="292"/>
    </row>
    <row r="741" spans="1:16" ht="26.25" hidden="1" x14ac:dyDescent="0.25">
      <c r="A741" s="287" t="s">
        <v>3610</v>
      </c>
      <c r="B741" s="311" t="s">
        <v>3611</v>
      </c>
      <c r="C741" s="62"/>
      <c r="D741" s="288" t="s">
        <v>3612</v>
      </c>
      <c r="E741" s="288" t="s">
        <v>3613</v>
      </c>
      <c r="F741" s="289">
        <v>8000750616</v>
      </c>
      <c r="G741" s="290">
        <v>45890</v>
      </c>
      <c r="H741" s="291">
        <v>990649.09</v>
      </c>
      <c r="I741" s="291">
        <v>990649.09</v>
      </c>
      <c r="J741" s="291">
        <v>0</v>
      </c>
      <c r="K741" s="289" t="s">
        <v>1731</v>
      </c>
      <c r="L741" s="288" t="s">
        <v>1773</v>
      </c>
      <c r="M741" s="288" t="s">
        <v>1774</v>
      </c>
      <c r="N741" s="288" t="s">
        <v>1734</v>
      </c>
      <c r="O741" s="289" t="s">
        <v>3614</v>
      </c>
      <c r="P741" s="292"/>
    </row>
    <row r="742" spans="1:16" ht="26.25" hidden="1" x14ac:dyDescent="0.25">
      <c r="A742" s="287" t="s">
        <v>3610</v>
      </c>
      <c r="B742" s="311" t="s">
        <v>3611</v>
      </c>
      <c r="C742" s="62"/>
      <c r="D742" s="288" t="s">
        <v>3612</v>
      </c>
      <c r="E742" s="288" t="s">
        <v>3615</v>
      </c>
      <c r="F742" s="289">
        <v>4000237570</v>
      </c>
      <c r="G742" s="290">
        <v>46078</v>
      </c>
      <c r="H742" s="291">
        <v>130258.04</v>
      </c>
      <c r="I742" s="291">
        <v>90511.4</v>
      </c>
      <c r="J742" s="291">
        <v>0</v>
      </c>
      <c r="K742" s="289" t="s">
        <v>1731</v>
      </c>
      <c r="L742" s="288" t="s">
        <v>1754</v>
      </c>
      <c r="M742" s="288" t="s">
        <v>1755</v>
      </c>
      <c r="N742" s="288" t="s">
        <v>1751</v>
      </c>
      <c r="O742" s="289" t="s">
        <v>1787</v>
      </c>
      <c r="P742" s="292"/>
    </row>
    <row r="743" spans="1:16" hidden="1" x14ac:dyDescent="0.25">
      <c r="A743" s="287" t="s">
        <v>3616</v>
      </c>
      <c r="B743" s="311" t="s">
        <v>3617</v>
      </c>
      <c r="C743" s="62"/>
      <c r="D743" s="288" t="s">
        <v>3618</v>
      </c>
      <c r="E743" s="288"/>
      <c r="F743" s="289">
        <v>8701667411</v>
      </c>
      <c r="G743" s="290">
        <v>45953</v>
      </c>
      <c r="H743" s="291">
        <v>27000</v>
      </c>
      <c r="I743" s="291">
        <v>27000</v>
      </c>
      <c r="J743" s="291">
        <v>0</v>
      </c>
      <c r="K743" s="289" t="s">
        <v>1731</v>
      </c>
      <c r="L743" s="288" t="s">
        <v>1732</v>
      </c>
      <c r="M743" s="288" t="s">
        <v>1733</v>
      </c>
      <c r="N743" s="288" t="s">
        <v>1734</v>
      </c>
      <c r="O743" s="289" t="s">
        <v>2010</v>
      </c>
      <c r="P743" s="292"/>
    </row>
    <row r="744" spans="1:16" hidden="1" x14ac:dyDescent="0.25">
      <c r="A744" s="287" t="s">
        <v>3619</v>
      </c>
      <c r="B744" s="311" t="s">
        <v>3620</v>
      </c>
      <c r="C744" s="62"/>
      <c r="D744" s="288" t="s">
        <v>3621</v>
      </c>
      <c r="E744" s="288" t="s">
        <v>1741</v>
      </c>
      <c r="F744" s="289">
        <v>8701666172</v>
      </c>
      <c r="G744" s="290">
        <v>45960</v>
      </c>
      <c r="H744" s="291">
        <v>35630</v>
      </c>
      <c r="I744" s="291">
        <v>35630</v>
      </c>
      <c r="J744" s="291">
        <v>0</v>
      </c>
      <c r="K744" s="289" t="s">
        <v>1731</v>
      </c>
      <c r="L744" s="288" t="s">
        <v>1732</v>
      </c>
      <c r="M744" s="288" t="s">
        <v>1733</v>
      </c>
      <c r="N744" s="288" t="s">
        <v>1734</v>
      </c>
      <c r="O744" s="289" t="s">
        <v>1874</v>
      </c>
      <c r="P744" s="292"/>
    </row>
    <row r="745" spans="1:16" hidden="1" x14ac:dyDescent="0.25">
      <c r="A745" s="287" t="s">
        <v>3622</v>
      </c>
      <c r="B745" s="311" t="s">
        <v>3623</v>
      </c>
      <c r="C745" s="62"/>
      <c r="D745" s="288" t="s">
        <v>3624</v>
      </c>
      <c r="E745" s="288"/>
      <c r="F745" s="289">
        <v>8701642209</v>
      </c>
      <c r="G745" s="290">
        <v>45925</v>
      </c>
      <c r="H745" s="291">
        <v>22419</v>
      </c>
      <c r="I745" s="291">
        <v>22419</v>
      </c>
      <c r="J745" s="291">
        <v>0</v>
      </c>
      <c r="K745" s="289" t="s">
        <v>1731</v>
      </c>
      <c r="L745" s="288" t="s">
        <v>1732</v>
      </c>
      <c r="M745" s="288" t="s">
        <v>1733</v>
      </c>
      <c r="N745" s="288" t="s">
        <v>1734</v>
      </c>
      <c r="O745" s="289" t="s">
        <v>3625</v>
      </c>
      <c r="P745" s="292"/>
    </row>
    <row r="746" spans="1:16" hidden="1" x14ac:dyDescent="0.25">
      <c r="A746" s="287" t="s">
        <v>3626</v>
      </c>
      <c r="B746" s="311" t="s">
        <v>3627</v>
      </c>
      <c r="C746" s="62"/>
      <c r="D746" s="288" t="s">
        <v>3628</v>
      </c>
      <c r="E746" s="288" t="s">
        <v>1741</v>
      </c>
      <c r="F746" s="289">
        <v>8701760812</v>
      </c>
      <c r="G746" s="290">
        <v>46065</v>
      </c>
      <c r="H746" s="291">
        <v>45000</v>
      </c>
      <c r="I746" s="291">
        <v>0</v>
      </c>
      <c r="J746" s="291">
        <v>0</v>
      </c>
      <c r="K746" s="289" t="s">
        <v>1731</v>
      </c>
      <c r="L746" s="288" t="s">
        <v>1732</v>
      </c>
      <c r="M746" s="288" t="s">
        <v>1733</v>
      </c>
      <c r="N746" s="288" t="s">
        <v>1734</v>
      </c>
      <c r="O746" s="289" t="s">
        <v>2338</v>
      </c>
      <c r="P746" s="292"/>
    </row>
    <row r="747" spans="1:16" s="364" customFormat="1" ht="75" x14ac:dyDescent="0.25">
      <c r="A747" s="367" t="s">
        <v>3629</v>
      </c>
      <c r="B747" s="373" t="s">
        <v>571</v>
      </c>
      <c r="C747" s="368" t="s">
        <v>4450</v>
      </c>
      <c r="D747" s="366" t="s">
        <v>3630</v>
      </c>
      <c r="E747" s="366" t="s">
        <v>572</v>
      </c>
      <c r="F747" s="369">
        <v>8000746740</v>
      </c>
      <c r="G747" s="370">
        <v>45841</v>
      </c>
      <c r="H747" s="371">
        <v>5000000</v>
      </c>
      <c r="I747" s="371">
        <v>5000000</v>
      </c>
      <c r="J747" s="371">
        <v>0</v>
      </c>
      <c r="K747" s="369" t="s">
        <v>1731</v>
      </c>
      <c r="L747" s="366" t="s">
        <v>1773</v>
      </c>
      <c r="M747" s="366" t="s">
        <v>1774</v>
      </c>
      <c r="N747" s="366" t="s">
        <v>1734</v>
      </c>
      <c r="O747" s="369" t="s">
        <v>2020</v>
      </c>
      <c r="P747" s="372"/>
    </row>
    <row r="748" spans="1:16" s="364" customFormat="1" ht="75" x14ac:dyDescent="0.25">
      <c r="A748" s="367" t="s">
        <v>3629</v>
      </c>
      <c r="B748" s="373" t="s">
        <v>571</v>
      </c>
      <c r="C748" s="368" t="s">
        <v>1564</v>
      </c>
      <c r="D748" s="366" t="s">
        <v>3630</v>
      </c>
      <c r="E748" s="366" t="s">
        <v>830</v>
      </c>
      <c r="F748" s="369">
        <v>8000749093</v>
      </c>
      <c r="G748" s="370">
        <v>45877</v>
      </c>
      <c r="H748" s="371">
        <v>5000000</v>
      </c>
      <c r="I748" s="371">
        <v>5000000</v>
      </c>
      <c r="J748" s="371">
        <v>0</v>
      </c>
      <c r="K748" s="369" t="s">
        <v>1731</v>
      </c>
      <c r="L748" s="366" t="s">
        <v>1773</v>
      </c>
      <c r="M748" s="366" t="s">
        <v>1774</v>
      </c>
      <c r="N748" s="366" t="s">
        <v>1734</v>
      </c>
      <c r="O748" s="369" t="s">
        <v>2261</v>
      </c>
      <c r="P748" s="372"/>
    </row>
    <row r="749" spans="1:16" hidden="1" x14ac:dyDescent="0.25">
      <c r="A749" s="287" t="s">
        <v>3631</v>
      </c>
      <c r="B749" s="311" t="s">
        <v>3632</v>
      </c>
      <c r="C749" s="62"/>
      <c r="D749" s="288" t="s">
        <v>3633</v>
      </c>
      <c r="E749" s="288"/>
      <c r="F749" s="289">
        <v>8701595491</v>
      </c>
      <c r="G749" s="290">
        <v>45866</v>
      </c>
      <c r="H749" s="291">
        <v>0.04</v>
      </c>
      <c r="I749" s="291">
        <v>0.04</v>
      </c>
      <c r="J749" s="291">
        <v>0</v>
      </c>
      <c r="K749" s="289" t="s">
        <v>1731</v>
      </c>
      <c r="L749" s="288" t="s">
        <v>1732</v>
      </c>
      <c r="M749" s="288" t="s">
        <v>1733</v>
      </c>
      <c r="N749" s="288" t="s">
        <v>1734</v>
      </c>
      <c r="O749" s="289" t="s">
        <v>2901</v>
      </c>
      <c r="P749" s="292"/>
    </row>
    <row r="750" spans="1:16" hidden="1" x14ac:dyDescent="0.25">
      <c r="A750" s="287" t="s">
        <v>3634</v>
      </c>
      <c r="B750" s="311" t="s">
        <v>3635</v>
      </c>
      <c r="C750" s="62"/>
      <c r="D750" s="288" t="s">
        <v>3636</v>
      </c>
      <c r="E750" s="288" t="s">
        <v>3637</v>
      </c>
      <c r="F750" s="289">
        <v>8000754198</v>
      </c>
      <c r="G750" s="290">
        <v>45853</v>
      </c>
      <c r="H750" s="291">
        <v>0.01</v>
      </c>
      <c r="I750" s="291">
        <v>0.01</v>
      </c>
      <c r="J750" s="291">
        <v>-0.01</v>
      </c>
      <c r="K750" s="289" t="s">
        <v>1731</v>
      </c>
      <c r="L750" s="288" t="s">
        <v>1732</v>
      </c>
      <c r="M750" s="288" t="s">
        <v>1733</v>
      </c>
      <c r="N750" s="288" t="s">
        <v>1734</v>
      </c>
      <c r="O750" s="289" t="s">
        <v>2305</v>
      </c>
      <c r="P750" s="292"/>
    </row>
    <row r="751" spans="1:16" hidden="1" x14ac:dyDescent="0.25">
      <c r="A751" s="287" t="s">
        <v>3638</v>
      </c>
      <c r="B751" s="311" t="s">
        <v>3639</v>
      </c>
      <c r="C751" s="62"/>
      <c r="D751" s="288" t="s">
        <v>3640</v>
      </c>
      <c r="E751" s="288" t="s">
        <v>3641</v>
      </c>
      <c r="F751" s="289">
        <v>8000756491</v>
      </c>
      <c r="G751" s="290">
        <v>45937</v>
      </c>
      <c r="H751" s="291">
        <v>3138960</v>
      </c>
      <c r="I751" s="291">
        <v>3138960</v>
      </c>
      <c r="J751" s="291">
        <v>0</v>
      </c>
      <c r="K751" s="289" t="s">
        <v>1731</v>
      </c>
      <c r="L751" s="288" t="s">
        <v>1839</v>
      </c>
      <c r="M751" s="288" t="s">
        <v>1840</v>
      </c>
      <c r="N751" s="288" t="s">
        <v>1841</v>
      </c>
      <c r="O751" s="289" t="s">
        <v>2179</v>
      </c>
      <c r="P751" s="292"/>
    </row>
    <row r="752" spans="1:16" hidden="1" x14ac:dyDescent="0.25">
      <c r="A752" s="287" t="s">
        <v>3642</v>
      </c>
      <c r="B752" s="311" t="s">
        <v>3643</v>
      </c>
      <c r="C752" s="62"/>
      <c r="D752" s="288" t="s">
        <v>3644</v>
      </c>
      <c r="E752" s="288" t="s">
        <v>1741</v>
      </c>
      <c r="F752" s="289">
        <v>8701741965</v>
      </c>
      <c r="G752" s="290">
        <v>46044</v>
      </c>
      <c r="H752" s="291">
        <v>30515</v>
      </c>
      <c r="I752" s="291">
        <v>30515</v>
      </c>
      <c r="J752" s="291">
        <v>0</v>
      </c>
      <c r="K752" s="289" t="s">
        <v>1731</v>
      </c>
      <c r="L752" s="288" t="s">
        <v>1732</v>
      </c>
      <c r="M752" s="288" t="s">
        <v>1733</v>
      </c>
      <c r="N752" s="288" t="s">
        <v>1734</v>
      </c>
      <c r="O752" s="289" t="s">
        <v>1874</v>
      </c>
      <c r="P752" s="292"/>
    </row>
    <row r="753" spans="1:17" hidden="1" x14ac:dyDescent="0.25">
      <c r="A753" s="287" t="s">
        <v>3642</v>
      </c>
      <c r="B753" s="311" t="s">
        <v>3643</v>
      </c>
      <c r="C753" s="62"/>
      <c r="D753" s="288" t="s">
        <v>3644</v>
      </c>
      <c r="E753" s="288" t="s">
        <v>1741</v>
      </c>
      <c r="F753" s="289">
        <v>8701699786</v>
      </c>
      <c r="G753" s="290">
        <v>46002</v>
      </c>
      <c r="H753" s="291">
        <v>15000</v>
      </c>
      <c r="I753" s="291">
        <v>15000</v>
      </c>
      <c r="J753" s="291">
        <v>0</v>
      </c>
      <c r="K753" s="289" t="s">
        <v>1731</v>
      </c>
      <c r="L753" s="288" t="s">
        <v>1732</v>
      </c>
      <c r="M753" s="288" t="s">
        <v>1733</v>
      </c>
      <c r="N753" s="288" t="s">
        <v>1734</v>
      </c>
      <c r="O753" s="289" t="s">
        <v>1874</v>
      </c>
      <c r="P753" s="292"/>
    </row>
    <row r="754" spans="1:17" hidden="1" x14ac:dyDescent="0.25">
      <c r="A754" s="287" t="s">
        <v>3642</v>
      </c>
      <c r="B754" s="311" t="s">
        <v>3643</v>
      </c>
      <c r="C754" s="62"/>
      <c r="D754" s="288" t="s">
        <v>3644</v>
      </c>
      <c r="E754" s="288" t="s">
        <v>1741</v>
      </c>
      <c r="F754" s="289">
        <v>8701743427</v>
      </c>
      <c r="G754" s="290">
        <v>46051</v>
      </c>
      <c r="H754" s="291">
        <v>90700</v>
      </c>
      <c r="I754" s="291">
        <v>90700</v>
      </c>
      <c r="J754" s="291">
        <v>0</v>
      </c>
      <c r="K754" s="289" t="s">
        <v>1731</v>
      </c>
      <c r="L754" s="288" t="s">
        <v>1773</v>
      </c>
      <c r="M754" s="288" t="s">
        <v>1774</v>
      </c>
      <c r="N754" s="288" t="s">
        <v>1734</v>
      </c>
      <c r="O754" s="289" t="s">
        <v>1874</v>
      </c>
      <c r="P754" s="292"/>
    </row>
    <row r="755" spans="1:17" hidden="1" x14ac:dyDescent="0.25">
      <c r="A755" s="287" t="s">
        <v>3645</v>
      </c>
      <c r="B755" s="311" t="s">
        <v>3646</v>
      </c>
      <c r="C755" s="62"/>
      <c r="D755" s="288" t="s">
        <v>3647</v>
      </c>
      <c r="E755" s="288" t="s">
        <v>3648</v>
      </c>
      <c r="F755" s="289">
        <v>8000787757</v>
      </c>
      <c r="G755" s="290">
        <v>46079</v>
      </c>
      <c r="H755" s="291">
        <v>8919244</v>
      </c>
      <c r="I755" s="291">
        <v>8919244</v>
      </c>
      <c r="J755" s="291">
        <v>0</v>
      </c>
      <c r="K755" s="289" t="s">
        <v>1731</v>
      </c>
      <c r="L755" s="288" t="s">
        <v>1773</v>
      </c>
      <c r="M755" s="288" t="s">
        <v>1774</v>
      </c>
      <c r="N755" s="288" t="s">
        <v>1734</v>
      </c>
      <c r="O755" s="289" t="s">
        <v>2379</v>
      </c>
      <c r="P755" s="292"/>
    </row>
    <row r="756" spans="1:17" hidden="1" x14ac:dyDescent="0.25">
      <c r="A756" s="287" t="s">
        <v>3649</v>
      </c>
      <c r="B756" s="311" t="s">
        <v>3650</v>
      </c>
      <c r="C756" s="62"/>
      <c r="D756" s="288" t="s">
        <v>3651</v>
      </c>
      <c r="E756" s="288" t="s">
        <v>3652</v>
      </c>
      <c r="F756" s="289">
        <v>8000770773</v>
      </c>
      <c r="G756" s="290">
        <v>45960</v>
      </c>
      <c r="H756" s="291">
        <v>275000</v>
      </c>
      <c r="I756" s="291">
        <v>275000</v>
      </c>
      <c r="J756" s="291">
        <v>0</v>
      </c>
      <c r="K756" s="289" t="s">
        <v>1731</v>
      </c>
      <c r="L756" s="288" t="s">
        <v>1773</v>
      </c>
      <c r="M756" s="288" t="s">
        <v>1774</v>
      </c>
      <c r="N756" s="288" t="s">
        <v>1734</v>
      </c>
      <c r="O756" s="289" t="s">
        <v>1991</v>
      </c>
      <c r="P756" s="292"/>
    </row>
    <row r="757" spans="1:17" hidden="1" x14ac:dyDescent="0.25">
      <c r="A757" s="287" t="s">
        <v>3653</v>
      </c>
      <c r="B757" s="311" t="s">
        <v>3654</v>
      </c>
      <c r="C757" s="62"/>
      <c r="D757" s="288" t="s">
        <v>3655</v>
      </c>
      <c r="E757" s="288" t="s">
        <v>1741</v>
      </c>
      <c r="F757" s="289">
        <v>8701750019</v>
      </c>
      <c r="G757" s="290">
        <v>46051</v>
      </c>
      <c r="H757" s="291">
        <v>40500</v>
      </c>
      <c r="I757" s="291">
        <v>40500</v>
      </c>
      <c r="J757" s="291">
        <v>0</v>
      </c>
      <c r="K757" s="289" t="s">
        <v>1731</v>
      </c>
      <c r="L757" s="288" t="s">
        <v>1732</v>
      </c>
      <c r="M757" s="288" t="s">
        <v>1733</v>
      </c>
      <c r="N757" s="288" t="s">
        <v>1734</v>
      </c>
      <c r="O757" s="289" t="s">
        <v>1874</v>
      </c>
      <c r="P757" s="292"/>
    </row>
    <row r="758" spans="1:17" hidden="1" x14ac:dyDescent="0.25">
      <c r="A758" s="287" t="s">
        <v>3656</v>
      </c>
      <c r="B758" s="311" t="s">
        <v>3657</v>
      </c>
      <c r="C758" s="62"/>
      <c r="D758" s="288" t="s">
        <v>3658</v>
      </c>
      <c r="E758" s="288" t="s">
        <v>1741</v>
      </c>
      <c r="F758" s="289">
        <v>8701668290</v>
      </c>
      <c r="G758" s="290">
        <v>45960</v>
      </c>
      <c r="H758" s="291">
        <v>19999.98</v>
      </c>
      <c r="I758" s="291">
        <v>19999.98</v>
      </c>
      <c r="J758" s="291">
        <v>0</v>
      </c>
      <c r="K758" s="289" t="s">
        <v>1731</v>
      </c>
      <c r="L758" s="288" t="s">
        <v>1732</v>
      </c>
      <c r="M758" s="288" t="s">
        <v>1733</v>
      </c>
      <c r="N758" s="288" t="s">
        <v>1734</v>
      </c>
      <c r="O758" s="289" t="s">
        <v>1874</v>
      </c>
      <c r="P758" s="292"/>
    </row>
    <row r="759" spans="1:17" hidden="1" x14ac:dyDescent="0.25">
      <c r="A759" s="287" t="s">
        <v>3659</v>
      </c>
      <c r="B759" s="311" t="s">
        <v>3660</v>
      </c>
      <c r="C759" s="62"/>
      <c r="D759" s="288" t="s">
        <v>3661</v>
      </c>
      <c r="E759" s="288" t="s">
        <v>3662</v>
      </c>
      <c r="F759" s="289">
        <v>8000805023</v>
      </c>
      <c r="G759" s="290">
        <v>46058</v>
      </c>
      <c r="H759" s="291">
        <v>335100</v>
      </c>
      <c r="I759" s="291">
        <v>0</v>
      </c>
      <c r="J759" s="291">
        <v>0</v>
      </c>
      <c r="K759" s="289" t="s">
        <v>1731</v>
      </c>
      <c r="L759" s="288" t="s">
        <v>1732</v>
      </c>
      <c r="M759" s="288" t="s">
        <v>1733</v>
      </c>
      <c r="N759" s="288" t="s">
        <v>1734</v>
      </c>
      <c r="O759" s="289" t="s">
        <v>1929</v>
      </c>
      <c r="P759" s="292"/>
    </row>
    <row r="760" spans="1:17" hidden="1" x14ac:dyDescent="0.25">
      <c r="A760" s="287" t="s">
        <v>3663</v>
      </c>
      <c r="B760" s="311" t="s">
        <v>3664</v>
      </c>
      <c r="C760" s="62"/>
      <c r="D760" s="288" t="s">
        <v>3665</v>
      </c>
      <c r="E760" s="288"/>
      <c r="F760" s="289">
        <v>8701697705</v>
      </c>
      <c r="G760" s="290">
        <v>45995</v>
      </c>
      <c r="H760" s="291">
        <v>99000</v>
      </c>
      <c r="I760" s="291">
        <v>99000</v>
      </c>
      <c r="J760" s="291">
        <v>0</v>
      </c>
      <c r="K760" s="289" t="s">
        <v>1731</v>
      </c>
      <c r="L760" s="288" t="s">
        <v>1732</v>
      </c>
      <c r="M760" s="288" t="s">
        <v>1733</v>
      </c>
      <c r="N760" s="288" t="s">
        <v>1734</v>
      </c>
      <c r="O760" s="289" t="s">
        <v>1808</v>
      </c>
      <c r="P760" s="292"/>
    </row>
    <row r="761" spans="1:17" hidden="1" x14ac:dyDescent="0.25">
      <c r="A761" s="287" t="s">
        <v>3666</v>
      </c>
      <c r="B761" s="311" t="s">
        <v>3667</v>
      </c>
      <c r="C761" s="62"/>
      <c r="D761" s="288" t="s">
        <v>3668</v>
      </c>
      <c r="E761" s="288" t="s">
        <v>3669</v>
      </c>
      <c r="F761" s="289">
        <v>8000797501</v>
      </c>
      <c r="G761" s="290">
        <v>46017</v>
      </c>
      <c r="H761" s="291">
        <v>135000</v>
      </c>
      <c r="I761" s="291">
        <v>135000</v>
      </c>
      <c r="J761" s="291">
        <v>0</v>
      </c>
      <c r="K761" s="289" t="s">
        <v>1731</v>
      </c>
      <c r="L761" s="288" t="s">
        <v>1773</v>
      </c>
      <c r="M761" s="288" t="s">
        <v>1774</v>
      </c>
      <c r="N761" s="288" t="s">
        <v>1734</v>
      </c>
      <c r="O761" s="289" t="s">
        <v>1735</v>
      </c>
      <c r="P761" s="292"/>
    </row>
    <row r="762" spans="1:17" hidden="1" x14ac:dyDescent="0.25">
      <c r="A762" s="287" t="s">
        <v>3670</v>
      </c>
      <c r="B762" s="311" t="s">
        <v>3671</v>
      </c>
      <c r="C762" s="62"/>
      <c r="D762" s="288" t="s">
        <v>3672</v>
      </c>
      <c r="E762" s="288" t="s">
        <v>1741</v>
      </c>
      <c r="F762" s="289">
        <v>8701741990</v>
      </c>
      <c r="G762" s="290">
        <v>46044</v>
      </c>
      <c r="H762" s="291">
        <v>43000</v>
      </c>
      <c r="I762" s="291">
        <v>0</v>
      </c>
      <c r="J762" s="291">
        <v>0</v>
      </c>
      <c r="K762" s="289" t="s">
        <v>1731</v>
      </c>
      <c r="L762" s="288" t="s">
        <v>1732</v>
      </c>
      <c r="M762" s="288" t="s">
        <v>1733</v>
      </c>
      <c r="N762" s="288" t="s">
        <v>1734</v>
      </c>
      <c r="O762" s="289" t="s">
        <v>1874</v>
      </c>
      <c r="P762" s="292"/>
    </row>
    <row r="763" spans="1:17" s="364" customFormat="1" ht="30" x14ac:dyDescent="0.25">
      <c r="A763" s="367" t="s">
        <v>3673</v>
      </c>
      <c r="B763" s="373" t="s">
        <v>3674</v>
      </c>
      <c r="C763" s="368" t="s">
        <v>4443</v>
      </c>
      <c r="D763" s="366" t="s">
        <v>3675</v>
      </c>
      <c r="E763" s="366" t="s">
        <v>1625</v>
      </c>
      <c r="F763" s="369">
        <v>8000802565</v>
      </c>
      <c r="G763" s="370">
        <v>46065</v>
      </c>
      <c r="H763" s="371">
        <v>3000000</v>
      </c>
      <c r="I763" s="371">
        <v>0</v>
      </c>
      <c r="J763" s="371">
        <v>0</v>
      </c>
      <c r="K763" s="369" t="s">
        <v>1731</v>
      </c>
      <c r="L763" s="366" t="s">
        <v>1773</v>
      </c>
      <c r="M763" s="366" t="s">
        <v>1774</v>
      </c>
      <c r="N763" s="366" t="s">
        <v>1734</v>
      </c>
      <c r="O763" s="369" t="s">
        <v>1626</v>
      </c>
      <c r="P763" s="372"/>
      <c r="Q763" s="364">
        <v>1</v>
      </c>
    </row>
    <row r="764" spans="1:17" hidden="1" x14ac:dyDescent="0.25">
      <c r="A764" s="287" t="s">
        <v>3676</v>
      </c>
      <c r="B764" s="311" t="s">
        <v>3677</v>
      </c>
      <c r="C764" s="305"/>
      <c r="D764" s="288" t="s">
        <v>3678</v>
      </c>
      <c r="E764" s="288" t="s">
        <v>1741</v>
      </c>
      <c r="F764" s="289">
        <v>8701749887</v>
      </c>
      <c r="G764" s="290">
        <v>46051</v>
      </c>
      <c r="H764" s="291">
        <v>80000</v>
      </c>
      <c r="I764" s="291">
        <v>80000</v>
      </c>
      <c r="J764" s="291">
        <v>0</v>
      </c>
      <c r="K764" s="289" t="s">
        <v>1731</v>
      </c>
      <c r="L764" s="288" t="s">
        <v>1732</v>
      </c>
      <c r="M764" s="288" t="s">
        <v>1733</v>
      </c>
      <c r="N764" s="288" t="s">
        <v>1734</v>
      </c>
      <c r="O764" s="289" t="s">
        <v>1874</v>
      </c>
      <c r="P764" s="292"/>
    </row>
    <row r="765" spans="1:17" hidden="1" x14ac:dyDescent="0.25">
      <c r="A765" s="287" t="s">
        <v>3679</v>
      </c>
      <c r="B765" s="311" t="s">
        <v>3680</v>
      </c>
      <c r="C765" s="305"/>
      <c r="D765" s="288" t="s">
        <v>3681</v>
      </c>
      <c r="E765" s="288" t="s">
        <v>3682</v>
      </c>
      <c r="F765" s="289">
        <v>8000803893</v>
      </c>
      <c r="G765" s="290">
        <v>46058</v>
      </c>
      <c r="H765" s="291">
        <v>108000</v>
      </c>
      <c r="I765" s="291">
        <v>0</v>
      </c>
      <c r="J765" s="291">
        <v>0</v>
      </c>
      <c r="K765" s="289" t="s">
        <v>1731</v>
      </c>
      <c r="L765" s="288" t="s">
        <v>1732</v>
      </c>
      <c r="M765" s="288" t="s">
        <v>1733</v>
      </c>
      <c r="N765" s="288" t="s">
        <v>1734</v>
      </c>
      <c r="O765" s="289" t="s">
        <v>1782</v>
      </c>
      <c r="P765" s="292"/>
    </row>
    <row r="766" spans="1:17" hidden="1" x14ac:dyDescent="0.25">
      <c r="A766" s="287" t="s">
        <v>3683</v>
      </c>
      <c r="B766" s="311" t="s">
        <v>3684</v>
      </c>
      <c r="C766" s="305"/>
      <c r="D766" s="288" t="s">
        <v>3685</v>
      </c>
      <c r="E766" s="288" t="s">
        <v>3686</v>
      </c>
      <c r="F766" s="289">
        <v>8000809145</v>
      </c>
      <c r="G766" s="290">
        <v>46079</v>
      </c>
      <c r="H766" s="291">
        <v>834850</v>
      </c>
      <c r="I766" s="291">
        <v>0</v>
      </c>
      <c r="J766" s="291">
        <v>0</v>
      </c>
      <c r="K766" s="289" t="s">
        <v>1731</v>
      </c>
      <c r="L766" s="288" t="s">
        <v>1773</v>
      </c>
      <c r="M766" s="288" t="s">
        <v>1774</v>
      </c>
      <c r="N766" s="288" t="s">
        <v>1734</v>
      </c>
      <c r="O766" s="289" t="s">
        <v>3687</v>
      </c>
      <c r="P766" s="292"/>
    </row>
    <row r="767" spans="1:17" hidden="1" x14ac:dyDescent="0.25">
      <c r="A767" s="287" t="s">
        <v>3688</v>
      </c>
      <c r="B767" s="311" t="s">
        <v>3689</v>
      </c>
      <c r="C767" s="305"/>
      <c r="D767" s="288" t="s">
        <v>3690</v>
      </c>
      <c r="E767" s="288" t="s">
        <v>3691</v>
      </c>
      <c r="F767" s="289">
        <v>8000811654</v>
      </c>
      <c r="G767" s="290">
        <v>46079</v>
      </c>
      <c r="H767" s="291">
        <v>330800</v>
      </c>
      <c r="I767" s="291">
        <v>0</v>
      </c>
      <c r="J767" s="291">
        <v>0</v>
      </c>
      <c r="K767" s="289" t="s">
        <v>1731</v>
      </c>
      <c r="L767" s="288" t="s">
        <v>1732</v>
      </c>
      <c r="M767" s="288" t="s">
        <v>1733</v>
      </c>
      <c r="N767" s="288" t="s">
        <v>1734</v>
      </c>
      <c r="O767" s="289" t="s">
        <v>3692</v>
      </c>
      <c r="P767" s="292"/>
    </row>
    <row r="768" spans="1:17" hidden="1" x14ac:dyDescent="0.25">
      <c r="A768" s="287" t="s">
        <v>3688</v>
      </c>
      <c r="B768" s="311" t="s">
        <v>3689</v>
      </c>
      <c r="C768" s="305"/>
      <c r="D768" s="288" t="s">
        <v>3690</v>
      </c>
      <c r="E768" s="288" t="s">
        <v>3693</v>
      </c>
      <c r="F768" s="289">
        <v>8000810170</v>
      </c>
      <c r="G768" s="290">
        <v>46072</v>
      </c>
      <c r="H768" s="291">
        <v>121800</v>
      </c>
      <c r="I768" s="291">
        <v>0</v>
      </c>
      <c r="J768" s="291">
        <v>0</v>
      </c>
      <c r="K768" s="289" t="s">
        <v>1731</v>
      </c>
      <c r="L768" s="288" t="s">
        <v>1732</v>
      </c>
      <c r="M768" s="288" t="s">
        <v>1733</v>
      </c>
      <c r="N768" s="288" t="s">
        <v>1734</v>
      </c>
      <c r="O768" s="289" t="s">
        <v>3692</v>
      </c>
      <c r="P768" s="292"/>
    </row>
    <row r="769" spans="1:16" hidden="1" x14ac:dyDescent="0.25">
      <c r="A769" s="287" t="s">
        <v>3694</v>
      </c>
      <c r="B769" s="311" t="s">
        <v>3695</v>
      </c>
      <c r="C769" s="305"/>
      <c r="D769" s="288" t="s">
        <v>3696</v>
      </c>
      <c r="E769" s="288"/>
      <c r="F769" s="289">
        <v>8701167948</v>
      </c>
      <c r="G769" s="290">
        <v>45386</v>
      </c>
      <c r="H769" s="291">
        <v>14350</v>
      </c>
      <c r="I769" s="291">
        <v>14350</v>
      </c>
      <c r="J769" s="291">
        <v>-14350</v>
      </c>
      <c r="K769" s="289" t="s">
        <v>1731</v>
      </c>
      <c r="L769" s="288" t="s">
        <v>1742</v>
      </c>
      <c r="M769" s="288" t="s">
        <v>1743</v>
      </c>
      <c r="N769" s="288" t="s">
        <v>1734</v>
      </c>
      <c r="O769" s="289" t="s">
        <v>2901</v>
      </c>
      <c r="P769" s="292"/>
    </row>
    <row r="770" spans="1:16" hidden="1" x14ac:dyDescent="0.25">
      <c r="A770" s="287" t="s">
        <v>3697</v>
      </c>
      <c r="B770" s="311" t="s">
        <v>3698</v>
      </c>
      <c r="C770" s="305"/>
      <c r="D770" s="288" t="s">
        <v>3699</v>
      </c>
      <c r="E770" s="288"/>
      <c r="F770" s="289">
        <v>8701752902</v>
      </c>
      <c r="G770" s="290">
        <v>46065</v>
      </c>
      <c r="H770" s="291">
        <v>5850</v>
      </c>
      <c r="I770" s="291">
        <v>0</v>
      </c>
      <c r="J770" s="291">
        <v>0</v>
      </c>
      <c r="K770" s="289" t="s">
        <v>1731</v>
      </c>
      <c r="L770" s="288" t="s">
        <v>1732</v>
      </c>
      <c r="M770" s="288" t="s">
        <v>1733</v>
      </c>
      <c r="N770" s="288" t="s">
        <v>1734</v>
      </c>
      <c r="O770" s="289" t="s">
        <v>3700</v>
      </c>
      <c r="P770" s="292"/>
    </row>
    <row r="771" spans="1:16" hidden="1" x14ac:dyDescent="0.25">
      <c r="A771" s="287" t="s">
        <v>3697</v>
      </c>
      <c r="B771" s="311" t="s">
        <v>3698</v>
      </c>
      <c r="C771" s="305"/>
      <c r="D771" s="288" t="s">
        <v>3699</v>
      </c>
      <c r="E771" s="288" t="s">
        <v>1741</v>
      </c>
      <c r="F771" s="289">
        <v>8701707177</v>
      </c>
      <c r="G771" s="290">
        <v>46009</v>
      </c>
      <c r="H771" s="291">
        <v>3</v>
      </c>
      <c r="I771" s="291">
        <v>3</v>
      </c>
      <c r="J771" s="291">
        <v>0</v>
      </c>
      <c r="K771" s="289" t="s">
        <v>1731</v>
      </c>
      <c r="L771" s="288" t="s">
        <v>1732</v>
      </c>
      <c r="M771" s="288" t="s">
        <v>1733</v>
      </c>
      <c r="N771" s="288" t="s">
        <v>1734</v>
      </c>
      <c r="O771" s="289" t="s">
        <v>2719</v>
      </c>
      <c r="P771" s="292"/>
    </row>
    <row r="772" spans="1:16" hidden="1" x14ac:dyDescent="0.25">
      <c r="A772" s="287" t="s">
        <v>3701</v>
      </c>
      <c r="B772" s="311" t="s">
        <v>3702</v>
      </c>
      <c r="C772" s="305"/>
      <c r="D772" s="288" t="s">
        <v>3703</v>
      </c>
      <c r="E772" s="288" t="s">
        <v>3704</v>
      </c>
      <c r="F772" s="289">
        <v>8000707374</v>
      </c>
      <c r="G772" s="290">
        <v>45974</v>
      </c>
      <c r="H772" s="291">
        <v>41142</v>
      </c>
      <c r="I772" s="291">
        <v>41142</v>
      </c>
      <c r="J772" s="291">
        <v>0</v>
      </c>
      <c r="K772" s="289" t="s">
        <v>1731</v>
      </c>
      <c r="L772" s="288" t="s">
        <v>1773</v>
      </c>
      <c r="M772" s="288" t="s">
        <v>1774</v>
      </c>
      <c r="N772" s="288" t="s">
        <v>1734</v>
      </c>
      <c r="O772" s="289" t="s">
        <v>2203</v>
      </c>
      <c r="P772" s="292"/>
    </row>
    <row r="773" spans="1:16" hidden="1" x14ac:dyDescent="0.25">
      <c r="A773" s="287" t="s">
        <v>3705</v>
      </c>
      <c r="B773" s="311" t="s">
        <v>3706</v>
      </c>
      <c r="C773" s="305"/>
      <c r="D773" s="288" t="s">
        <v>3707</v>
      </c>
      <c r="E773" s="288" t="s">
        <v>1741</v>
      </c>
      <c r="F773" s="289"/>
      <c r="G773" s="290">
        <v>45574</v>
      </c>
      <c r="H773" s="291">
        <v>1200</v>
      </c>
      <c r="I773" s="291">
        <v>1200</v>
      </c>
      <c r="J773" s="291">
        <v>-1200</v>
      </c>
      <c r="K773" s="289" t="s">
        <v>1731</v>
      </c>
      <c r="L773" s="288" t="s">
        <v>1773</v>
      </c>
      <c r="M773" s="288" t="s">
        <v>1774</v>
      </c>
      <c r="N773" s="288" t="s">
        <v>1734</v>
      </c>
      <c r="O773" s="289" t="s">
        <v>1791</v>
      </c>
      <c r="P773" s="292"/>
    </row>
    <row r="774" spans="1:16" hidden="1" x14ac:dyDescent="0.25">
      <c r="A774" s="287" t="s">
        <v>3708</v>
      </c>
      <c r="B774" s="311" t="s">
        <v>3709</v>
      </c>
      <c r="C774" s="305"/>
      <c r="D774" s="288" t="s">
        <v>3710</v>
      </c>
      <c r="E774" s="288" t="s">
        <v>1741</v>
      </c>
      <c r="F774" s="289">
        <v>4000236140</v>
      </c>
      <c r="G774" s="290">
        <v>45958</v>
      </c>
      <c r="H774" s="291">
        <v>135.63</v>
      </c>
      <c r="I774" s="291">
        <v>135.63</v>
      </c>
      <c r="J774" s="291">
        <v>0</v>
      </c>
      <c r="K774" s="289" t="s">
        <v>1731</v>
      </c>
      <c r="L774" s="288" t="s">
        <v>1749</v>
      </c>
      <c r="M774" s="288" t="s">
        <v>1750</v>
      </c>
      <c r="N774" s="288" t="s">
        <v>1751</v>
      </c>
      <c r="O774" s="289" t="s">
        <v>2439</v>
      </c>
      <c r="P774" s="292"/>
    </row>
    <row r="775" spans="1:16" hidden="1" x14ac:dyDescent="0.25">
      <c r="A775" s="287" t="s">
        <v>3711</v>
      </c>
      <c r="B775" s="311" t="s">
        <v>3712</v>
      </c>
      <c r="C775" s="305"/>
      <c r="D775" s="288" t="s">
        <v>3713</v>
      </c>
      <c r="E775" s="288"/>
      <c r="F775" s="289">
        <v>8701566942</v>
      </c>
      <c r="G775" s="290">
        <v>45834</v>
      </c>
      <c r="H775" s="291">
        <v>24960</v>
      </c>
      <c r="I775" s="291">
        <v>24960</v>
      </c>
      <c r="J775" s="291">
        <v>-24960</v>
      </c>
      <c r="K775" s="289" t="s">
        <v>1731</v>
      </c>
      <c r="L775" s="288" t="s">
        <v>1773</v>
      </c>
      <c r="M775" s="288" t="s">
        <v>1774</v>
      </c>
      <c r="N775" s="288" t="s">
        <v>1734</v>
      </c>
      <c r="O775" s="289" t="s">
        <v>3056</v>
      </c>
      <c r="P775" s="292"/>
    </row>
    <row r="776" spans="1:16" hidden="1" x14ac:dyDescent="0.25">
      <c r="A776" s="287" t="s">
        <v>3714</v>
      </c>
      <c r="B776" s="311" t="s">
        <v>3715</v>
      </c>
      <c r="C776" s="305"/>
      <c r="D776" s="288" t="s">
        <v>3716</v>
      </c>
      <c r="E776" s="288"/>
      <c r="F776" s="289">
        <v>8701745315</v>
      </c>
      <c r="G776" s="290">
        <v>46044</v>
      </c>
      <c r="H776" s="291">
        <v>15290</v>
      </c>
      <c r="I776" s="291">
        <v>0</v>
      </c>
      <c r="J776" s="291">
        <v>0</v>
      </c>
      <c r="K776" s="289" t="s">
        <v>1731</v>
      </c>
      <c r="L776" s="288" t="s">
        <v>1732</v>
      </c>
      <c r="M776" s="288" t="s">
        <v>1733</v>
      </c>
      <c r="N776" s="288" t="s">
        <v>1734</v>
      </c>
      <c r="O776" s="289" t="s">
        <v>1918</v>
      </c>
      <c r="P776" s="292"/>
    </row>
    <row r="777" spans="1:16" hidden="1" x14ac:dyDescent="0.25">
      <c r="A777" s="287" t="s">
        <v>3717</v>
      </c>
      <c r="B777" s="311" t="s">
        <v>3718</v>
      </c>
      <c r="C777" s="305"/>
      <c r="D777" s="288" t="s">
        <v>3719</v>
      </c>
      <c r="E777" s="288" t="s">
        <v>1741</v>
      </c>
      <c r="F777" s="289"/>
      <c r="G777" s="290">
        <v>45457</v>
      </c>
      <c r="H777" s="291">
        <v>219580</v>
      </c>
      <c r="I777" s="291">
        <v>219580</v>
      </c>
      <c r="J777" s="291">
        <v>-219580</v>
      </c>
      <c r="K777" s="289" t="s">
        <v>1731</v>
      </c>
      <c r="L777" s="288" t="s">
        <v>1773</v>
      </c>
      <c r="M777" s="288" t="s">
        <v>1774</v>
      </c>
      <c r="N777" s="288" t="s">
        <v>1734</v>
      </c>
      <c r="O777" s="289" t="s">
        <v>1791</v>
      </c>
      <c r="P777" s="292"/>
    </row>
    <row r="778" spans="1:16" hidden="1" x14ac:dyDescent="0.25">
      <c r="A778" s="287" t="s">
        <v>3720</v>
      </c>
      <c r="B778" s="311" t="s">
        <v>3721</v>
      </c>
      <c r="C778" s="305"/>
      <c r="D778" s="288" t="s">
        <v>3722</v>
      </c>
      <c r="E778" s="288" t="s">
        <v>3723</v>
      </c>
      <c r="F778" s="289">
        <v>4000131233</v>
      </c>
      <c r="G778" s="290">
        <v>46082</v>
      </c>
      <c r="H778" s="291">
        <v>168259.84</v>
      </c>
      <c r="I778" s="291">
        <v>120186.67</v>
      </c>
      <c r="J778" s="291">
        <v>0</v>
      </c>
      <c r="K778" s="289" t="s">
        <v>1731</v>
      </c>
      <c r="L778" s="288" t="s">
        <v>1754</v>
      </c>
      <c r="M778" s="288" t="s">
        <v>1755</v>
      </c>
      <c r="N778" s="288" t="s">
        <v>1751</v>
      </c>
      <c r="O778" s="289" t="s">
        <v>2480</v>
      </c>
      <c r="P778" s="292"/>
    </row>
    <row r="779" spans="1:16" hidden="1" x14ac:dyDescent="0.25">
      <c r="A779" s="287" t="s">
        <v>3724</v>
      </c>
      <c r="B779" s="311" t="s">
        <v>3725</v>
      </c>
      <c r="C779" s="305"/>
      <c r="D779" s="288" t="s">
        <v>3726</v>
      </c>
      <c r="E779" s="288" t="s">
        <v>1741</v>
      </c>
      <c r="F779" s="289"/>
      <c r="G779" s="290">
        <v>45568</v>
      </c>
      <c r="H779" s="291">
        <v>264061.40000000002</v>
      </c>
      <c r="I779" s="291">
        <v>264061.40000000002</v>
      </c>
      <c r="J779" s="291">
        <v>-264061.40000000002</v>
      </c>
      <c r="K779" s="289" t="s">
        <v>1731</v>
      </c>
      <c r="L779" s="288" t="s">
        <v>1732</v>
      </c>
      <c r="M779" s="288" t="s">
        <v>1733</v>
      </c>
      <c r="N779" s="288" t="s">
        <v>1734</v>
      </c>
      <c r="O779" s="289" t="s">
        <v>1791</v>
      </c>
      <c r="P779" s="292"/>
    </row>
    <row r="780" spans="1:16" hidden="1" x14ac:dyDescent="0.25">
      <c r="A780" s="287" t="s">
        <v>3727</v>
      </c>
      <c r="B780" s="311" t="s">
        <v>3728</v>
      </c>
      <c r="C780" s="305"/>
      <c r="D780" s="288" t="s">
        <v>3729</v>
      </c>
      <c r="E780" s="288" t="s">
        <v>3730</v>
      </c>
      <c r="F780" s="289"/>
      <c r="G780" s="290">
        <v>45512</v>
      </c>
      <c r="H780" s="291">
        <v>130000</v>
      </c>
      <c r="I780" s="291">
        <v>130000</v>
      </c>
      <c r="J780" s="291">
        <v>-130000</v>
      </c>
      <c r="K780" s="289" t="s">
        <v>1731</v>
      </c>
      <c r="L780" s="288" t="s">
        <v>1773</v>
      </c>
      <c r="M780" s="288" t="s">
        <v>1774</v>
      </c>
      <c r="N780" s="288" t="s">
        <v>1734</v>
      </c>
      <c r="O780" s="289" t="s">
        <v>1791</v>
      </c>
      <c r="P780" s="292"/>
    </row>
    <row r="781" spans="1:16" hidden="1" x14ac:dyDescent="0.25">
      <c r="A781" s="287" t="s">
        <v>3731</v>
      </c>
      <c r="B781" s="311" t="s">
        <v>3732</v>
      </c>
      <c r="C781" s="305"/>
      <c r="D781" s="288" t="s">
        <v>3733</v>
      </c>
      <c r="E781" s="288" t="s">
        <v>3734</v>
      </c>
      <c r="F781" s="289"/>
      <c r="G781" s="290">
        <v>45637</v>
      </c>
      <c r="H781" s="291">
        <v>325000</v>
      </c>
      <c r="I781" s="291">
        <v>325000</v>
      </c>
      <c r="J781" s="291">
        <v>-325000</v>
      </c>
      <c r="K781" s="289" t="s">
        <v>1731</v>
      </c>
      <c r="L781" s="288" t="s">
        <v>2164</v>
      </c>
      <c r="M781" s="288" t="s">
        <v>2165</v>
      </c>
      <c r="N781" s="288" t="s">
        <v>1734</v>
      </c>
      <c r="O781" s="289" t="s">
        <v>1791</v>
      </c>
      <c r="P781" s="292"/>
    </row>
    <row r="782" spans="1:16" hidden="1" x14ac:dyDescent="0.25">
      <c r="A782" s="287" t="s">
        <v>3735</v>
      </c>
      <c r="B782" s="311" t="s">
        <v>3736</v>
      </c>
      <c r="C782" s="305"/>
      <c r="D782" s="288" t="s">
        <v>3737</v>
      </c>
      <c r="E782" s="288"/>
      <c r="F782" s="289">
        <v>8701299603</v>
      </c>
      <c r="G782" s="290">
        <v>45561</v>
      </c>
      <c r="H782" s="291">
        <v>37030</v>
      </c>
      <c r="I782" s="291">
        <v>37030</v>
      </c>
      <c r="J782" s="291">
        <v>-37030</v>
      </c>
      <c r="K782" s="289" t="s">
        <v>1731</v>
      </c>
      <c r="L782" s="288" t="s">
        <v>1732</v>
      </c>
      <c r="M782" s="288" t="s">
        <v>1733</v>
      </c>
      <c r="N782" s="288" t="s">
        <v>1734</v>
      </c>
      <c r="O782" s="289" t="s">
        <v>3738</v>
      </c>
      <c r="P782" s="292"/>
    </row>
    <row r="783" spans="1:16" hidden="1" x14ac:dyDescent="0.25">
      <c r="A783" s="287" t="s">
        <v>3735</v>
      </c>
      <c r="B783" s="311" t="s">
        <v>3736</v>
      </c>
      <c r="C783" s="305"/>
      <c r="D783" s="288" t="s">
        <v>3737</v>
      </c>
      <c r="E783" s="288"/>
      <c r="F783" s="289">
        <v>8701299609</v>
      </c>
      <c r="G783" s="290">
        <v>45561</v>
      </c>
      <c r="H783" s="291">
        <v>79700</v>
      </c>
      <c r="I783" s="291">
        <v>79700</v>
      </c>
      <c r="J783" s="291">
        <v>-79700</v>
      </c>
      <c r="K783" s="289" t="s">
        <v>1731</v>
      </c>
      <c r="L783" s="288" t="s">
        <v>1732</v>
      </c>
      <c r="M783" s="288" t="s">
        <v>1733</v>
      </c>
      <c r="N783" s="288" t="s">
        <v>1734</v>
      </c>
      <c r="O783" s="289" t="s">
        <v>3738</v>
      </c>
      <c r="P783" s="292"/>
    </row>
    <row r="784" spans="1:16" hidden="1" x14ac:dyDescent="0.25">
      <c r="A784" s="287" t="s">
        <v>3739</v>
      </c>
      <c r="B784" s="311" t="s">
        <v>3740</v>
      </c>
      <c r="C784" s="305"/>
      <c r="D784" s="288" t="s">
        <v>3741</v>
      </c>
      <c r="E784" s="288"/>
      <c r="F784" s="289"/>
      <c r="G784" s="290">
        <v>45638</v>
      </c>
      <c r="H784" s="291">
        <v>13760</v>
      </c>
      <c r="I784" s="291">
        <v>13760</v>
      </c>
      <c r="J784" s="291">
        <v>-20950</v>
      </c>
      <c r="K784" s="289" t="s">
        <v>1731</v>
      </c>
      <c r="L784" s="288" t="s">
        <v>1732</v>
      </c>
      <c r="M784" s="288" t="s">
        <v>1733</v>
      </c>
      <c r="N784" s="288" t="s">
        <v>1734</v>
      </c>
      <c r="O784" s="289" t="s">
        <v>1791</v>
      </c>
      <c r="P784" s="292"/>
    </row>
    <row r="785" spans="1:16" hidden="1" x14ac:dyDescent="0.25">
      <c r="A785" s="287" t="s">
        <v>3739</v>
      </c>
      <c r="B785" s="311" t="s">
        <v>3740</v>
      </c>
      <c r="C785" s="305"/>
      <c r="D785" s="288" t="s">
        <v>3741</v>
      </c>
      <c r="E785" s="288"/>
      <c r="F785" s="289"/>
      <c r="G785" s="290">
        <v>45645</v>
      </c>
      <c r="H785" s="291">
        <v>7190</v>
      </c>
      <c r="I785" s="291">
        <v>7190</v>
      </c>
      <c r="J785" s="291">
        <v>-20950</v>
      </c>
      <c r="K785" s="289" t="s">
        <v>1731</v>
      </c>
      <c r="L785" s="288" t="s">
        <v>1773</v>
      </c>
      <c r="M785" s="288" t="s">
        <v>1774</v>
      </c>
      <c r="N785" s="288" t="s">
        <v>1734</v>
      </c>
      <c r="O785" s="289" t="s">
        <v>1791</v>
      </c>
      <c r="P785" s="292"/>
    </row>
    <row r="786" spans="1:16" hidden="1" x14ac:dyDescent="0.25">
      <c r="A786" s="287" t="s">
        <v>3739</v>
      </c>
      <c r="B786" s="311" t="s">
        <v>3740</v>
      </c>
      <c r="C786" s="305"/>
      <c r="D786" s="288" t="s">
        <v>3741</v>
      </c>
      <c r="E786" s="288" t="s">
        <v>1741</v>
      </c>
      <c r="F786" s="289"/>
      <c r="G786" s="290">
        <v>45560</v>
      </c>
      <c r="H786" s="291">
        <v>230075</v>
      </c>
      <c r="I786" s="291">
        <v>230075</v>
      </c>
      <c r="J786" s="291">
        <v>-183707.86</v>
      </c>
      <c r="K786" s="289" t="s">
        <v>1731</v>
      </c>
      <c r="L786" s="288" t="s">
        <v>1732</v>
      </c>
      <c r="M786" s="288" t="s">
        <v>1733</v>
      </c>
      <c r="N786" s="288" t="s">
        <v>1734</v>
      </c>
      <c r="O786" s="289" t="s">
        <v>1791</v>
      </c>
      <c r="P786" s="292"/>
    </row>
    <row r="787" spans="1:16" hidden="1" x14ac:dyDescent="0.25">
      <c r="A787" s="287" t="s">
        <v>3739</v>
      </c>
      <c r="B787" s="311" t="s">
        <v>3740</v>
      </c>
      <c r="C787" s="305"/>
      <c r="D787" s="288" t="s">
        <v>3741</v>
      </c>
      <c r="E787" s="288" t="s">
        <v>1741</v>
      </c>
      <c r="F787" s="289"/>
      <c r="G787" s="290">
        <v>45555</v>
      </c>
      <c r="H787" s="291">
        <v>15960</v>
      </c>
      <c r="I787" s="291">
        <v>15960</v>
      </c>
      <c r="J787" s="291">
        <v>-183707.86</v>
      </c>
      <c r="K787" s="289" t="s">
        <v>1731</v>
      </c>
      <c r="L787" s="288" t="s">
        <v>1773</v>
      </c>
      <c r="M787" s="288" t="s">
        <v>1774</v>
      </c>
      <c r="N787" s="288" t="s">
        <v>1734</v>
      </c>
      <c r="O787" s="289" t="s">
        <v>1791</v>
      </c>
      <c r="P787" s="292"/>
    </row>
    <row r="788" spans="1:16" hidden="1" x14ac:dyDescent="0.25">
      <c r="A788" s="287" t="s">
        <v>3742</v>
      </c>
      <c r="B788" s="311" t="s">
        <v>3743</v>
      </c>
      <c r="C788" s="305"/>
      <c r="D788" s="288" t="s">
        <v>3744</v>
      </c>
      <c r="E788" s="288" t="s">
        <v>3745</v>
      </c>
      <c r="F788" s="289"/>
      <c r="G788" s="290">
        <v>45477</v>
      </c>
      <c r="H788" s="291">
        <v>21500</v>
      </c>
      <c r="I788" s="291">
        <v>21500</v>
      </c>
      <c r="J788" s="291">
        <v>-21500</v>
      </c>
      <c r="K788" s="289" t="s">
        <v>1731</v>
      </c>
      <c r="L788" s="288" t="s">
        <v>2164</v>
      </c>
      <c r="M788" s="288" t="s">
        <v>2165</v>
      </c>
      <c r="N788" s="288" t="s">
        <v>1734</v>
      </c>
      <c r="O788" s="289" t="s">
        <v>1791</v>
      </c>
      <c r="P788" s="292"/>
    </row>
    <row r="789" spans="1:16" hidden="1" x14ac:dyDescent="0.25">
      <c r="A789" s="287" t="s">
        <v>3746</v>
      </c>
      <c r="B789" s="311" t="s">
        <v>3747</v>
      </c>
      <c r="C789" s="305"/>
      <c r="D789" s="288" t="s">
        <v>3748</v>
      </c>
      <c r="E789" s="288"/>
      <c r="F789" s="289"/>
      <c r="G789" s="290">
        <v>45638</v>
      </c>
      <c r="H789" s="291">
        <v>200000</v>
      </c>
      <c r="I789" s="291">
        <v>200000</v>
      </c>
      <c r="J789" s="291">
        <v>-200000</v>
      </c>
      <c r="K789" s="289" t="s">
        <v>1731</v>
      </c>
      <c r="L789" s="288" t="s">
        <v>1773</v>
      </c>
      <c r="M789" s="288" t="s">
        <v>1774</v>
      </c>
      <c r="N789" s="288" t="s">
        <v>1734</v>
      </c>
      <c r="O789" s="289" t="s">
        <v>1791</v>
      </c>
      <c r="P789" s="292"/>
    </row>
    <row r="790" spans="1:16" hidden="1" x14ac:dyDescent="0.25">
      <c r="A790" s="287" t="s">
        <v>3749</v>
      </c>
      <c r="B790" s="311" t="s">
        <v>3750</v>
      </c>
      <c r="C790" s="305"/>
      <c r="D790" s="288" t="s">
        <v>3751</v>
      </c>
      <c r="E790" s="288" t="s">
        <v>3752</v>
      </c>
      <c r="F790" s="289"/>
      <c r="G790" s="290">
        <v>45530</v>
      </c>
      <c r="H790" s="291">
        <v>15700</v>
      </c>
      <c r="I790" s="291">
        <v>15700</v>
      </c>
      <c r="J790" s="291">
        <v>-15700</v>
      </c>
      <c r="K790" s="289" t="s">
        <v>1731</v>
      </c>
      <c r="L790" s="288" t="s">
        <v>1732</v>
      </c>
      <c r="M790" s="288" t="s">
        <v>1733</v>
      </c>
      <c r="N790" s="288" t="s">
        <v>1734</v>
      </c>
      <c r="O790" s="289" t="s">
        <v>1791</v>
      </c>
      <c r="P790" s="292"/>
    </row>
    <row r="791" spans="1:16" hidden="1" x14ac:dyDescent="0.25">
      <c r="A791" s="287" t="s">
        <v>3749</v>
      </c>
      <c r="B791" s="311" t="s">
        <v>3750</v>
      </c>
      <c r="C791" s="305"/>
      <c r="D791" s="288" t="s">
        <v>3751</v>
      </c>
      <c r="E791" s="288" t="s">
        <v>3753</v>
      </c>
      <c r="F791" s="289"/>
      <c r="G791" s="290">
        <v>45531</v>
      </c>
      <c r="H791" s="291">
        <v>9545</v>
      </c>
      <c r="I791" s="291">
        <v>9545</v>
      </c>
      <c r="J791" s="291">
        <v>-9545</v>
      </c>
      <c r="K791" s="289" t="s">
        <v>1731</v>
      </c>
      <c r="L791" s="288" t="s">
        <v>1732</v>
      </c>
      <c r="M791" s="288" t="s">
        <v>1733</v>
      </c>
      <c r="N791" s="288" t="s">
        <v>1734</v>
      </c>
      <c r="O791" s="289" t="s">
        <v>1791</v>
      </c>
      <c r="P791" s="292"/>
    </row>
    <row r="792" spans="1:16" hidden="1" x14ac:dyDescent="0.25">
      <c r="A792" s="287" t="s">
        <v>3749</v>
      </c>
      <c r="B792" s="311" t="s">
        <v>3750</v>
      </c>
      <c r="C792" s="305"/>
      <c r="D792" s="288" t="s">
        <v>3751</v>
      </c>
      <c r="E792" s="288" t="s">
        <v>1741</v>
      </c>
      <c r="F792" s="289"/>
      <c r="G792" s="290">
        <v>45561</v>
      </c>
      <c r="H792" s="291">
        <v>63532.4</v>
      </c>
      <c r="I792" s="291">
        <v>63532.4</v>
      </c>
      <c r="J792" s="291">
        <v>-63532.4</v>
      </c>
      <c r="K792" s="289" t="s">
        <v>1731</v>
      </c>
      <c r="L792" s="288" t="s">
        <v>1732</v>
      </c>
      <c r="M792" s="288" t="s">
        <v>1733</v>
      </c>
      <c r="N792" s="288" t="s">
        <v>1734</v>
      </c>
      <c r="O792" s="289" t="s">
        <v>1791</v>
      </c>
      <c r="P792" s="292"/>
    </row>
    <row r="793" spans="1:16" hidden="1" x14ac:dyDescent="0.25">
      <c r="A793" s="287" t="s">
        <v>3754</v>
      </c>
      <c r="B793" s="311" t="s">
        <v>30</v>
      </c>
      <c r="C793" s="305"/>
      <c r="D793" s="288" t="s">
        <v>3755</v>
      </c>
      <c r="E793" s="288"/>
      <c r="F793" s="289"/>
      <c r="G793" s="290">
        <v>45688</v>
      </c>
      <c r="H793" s="291">
        <v>4320</v>
      </c>
      <c r="I793" s="291">
        <v>4320</v>
      </c>
      <c r="J793" s="291">
        <v>0</v>
      </c>
      <c r="K793" s="289" t="s">
        <v>1731</v>
      </c>
      <c r="L793" s="288" t="s">
        <v>1839</v>
      </c>
      <c r="M793" s="288" t="s">
        <v>1840</v>
      </c>
      <c r="N793" s="288" t="s">
        <v>1841</v>
      </c>
      <c r="O793" s="289" t="s">
        <v>1791</v>
      </c>
      <c r="P793" s="292"/>
    </row>
    <row r="794" spans="1:16" hidden="1" x14ac:dyDescent="0.25">
      <c r="A794" s="287" t="s">
        <v>3756</v>
      </c>
      <c r="B794" s="311" t="s">
        <v>3757</v>
      </c>
      <c r="C794" s="305"/>
      <c r="D794" s="288" t="s">
        <v>3758</v>
      </c>
      <c r="E794" s="288" t="s">
        <v>1741</v>
      </c>
      <c r="F794" s="289"/>
      <c r="G794" s="290">
        <v>45540</v>
      </c>
      <c r="H794" s="291">
        <v>30990</v>
      </c>
      <c r="I794" s="291">
        <v>30990</v>
      </c>
      <c r="J794" s="291">
        <v>-30990</v>
      </c>
      <c r="K794" s="289" t="s">
        <v>1731</v>
      </c>
      <c r="L794" s="288" t="s">
        <v>1773</v>
      </c>
      <c r="M794" s="288" t="s">
        <v>1774</v>
      </c>
      <c r="N794" s="288" t="s">
        <v>1734</v>
      </c>
      <c r="O794" s="289" t="s">
        <v>1791</v>
      </c>
      <c r="P794" s="292"/>
    </row>
    <row r="795" spans="1:16" hidden="1" x14ac:dyDescent="0.25">
      <c r="A795" s="287" t="s">
        <v>3759</v>
      </c>
      <c r="B795" s="311" t="s">
        <v>3760</v>
      </c>
      <c r="C795" s="305"/>
      <c r="D795" s="288" t="s">
        <v>3761</v>
      </c>
      <c r="E795" s="288" t="s">
        <v>1741</v>
      </c>
      <c r="F795" s="289"/>
      <c r="G795" s="290">
        <v>45560</v>
      </c>
      <c r="H795" s="291">
        <v>76716</v>
      </c>
      <c r="I795" s="291">
        <v>76716</v>
      </c>
      <c r="J795" s="291">
        <v>-76716</v>
      </c>
      <c r="K795" s="289" t="s">
        <v>1731</v>
      </c>
      <c r="L795" s="288" t="s">
        <v>1732</v>
      </c>
      <c r="M795" s="288" t="s">
        <v>1733</v>
      </c>
      <c r="N795" s="288" t="s">
        <v>1734</v>
      </c>
      <c r="O795" s="289" t="s">
        <v>1791</v>
      </c>
      <c r="P795" s="292"/>
    </row>
    <row r="796" spans="1:16" hidden="1" x14ac:dyDescent="0.25">
      <c r="A796" s="287" t="s">
        <v>3762</v>
      </c>
      <c r="B796" s="311" t="s">
        <v>3763</v>
      </c>
      <c r="C796" s="305"/>
      <c r="D796" s="288" t="s">
        <v>3764</v>
      </c>
      <c r="E796" s="288" t="s">
        <v>3765</v>
      </c>
      <c r="F796" s="289"/>
      <c r="G796" s="290">
        <v>45531</v>
      </c>
      <c r="H796" s="291">
        <v>1750</v>
      </c>
      <c r="I796" s="291">
        <v>1750</v>
      </c>
      <c r="J796" s="291">
        <v>-1750</v>
      </c>
      <c r="K796" s="289" t="s">
        <v>1731</v>
      </c>
      <c r="L796" s="288" t="s">
        <v>1732</v>
      </c>
      <c r="M796" s="288" t="s">
        <v>1733</v>
      </c>
      <c r="N796" s="288" t="s">
        <v>1734</v>
      </c>
      <c r="O796" s="289" t="s">
        <v>1791</v>
      </c>
      <c r="P796" s="292"/>
    </row>
    <row r="797" spans="1:16" hidden="1" x14ac:dyDescent="0.25">
      <c r="A797" s="287" t="s">
        <v>3762</v>
      </c>
      <c r="B797" s="311" t="s">
        <v>3763</v>
      </c>
      <c r="C797" s="305"/>
      <c r="D797" s="288" t="s">
        <v>3764</v>
      </c>
      <c r="E797" s="288" t="s">
        <v>1741</v>
      </c>
      <c r="F797" s="289"/>
      <c r="G797" s="290">
        <v>45553</v>
      </c>
      <c r="H797" s="291">
        <v>22950</v>
      </c>
      <c r="I797" s="291">
        <v>22950</v>
      </c>
      <c r="J797" s="291">
        <v>-21550</v>
      </c>
      <c r="K797" s="289" t="s">
        <v>1731</v>
      </c>
      <c r="L797" s="288" t="s">
        <v>1732</v>
      </c>
      <c r="M797" s="288" t="s">
        <v>1733</v>
      </c>
      <c r="N797" s="288" t="s">
        <v>1734</v>
      </c>
      <c r="O797" s="289" t="s">
        <v>1791</v>
      </c>
      <c r="P797" s="292"/>
    </row>
    <row r="798" spans="1:16" hidden="1" x14ac:dyDescent="0.25">
      <c r="A798" s="287" t="s">
        <v>3766</v>
      </c>
      <c r="B798" s="311" t="s">
        <v>3767</v>
      </c>
      <c r="C798" s="305"/>
      <c r="D798" s="288" t="s">
        <v>3768</v>
      </c>
      <c r="E798" s="288" t="s">
        <v>1741</v>
      </c>
      <c r="F798" s="289"/>
      <c r="G798" s="290">
        <v>45567</v>
      </c>
      <c r="H798" s="291">
        <v>1300</v>
      </c>
      <c r="I798" s="291">
        <v>1300</v>
      </c>
      <c r="J798" s="291">
        <v>-1300</v>
      </c>
      <c r="K798" s="289" t="s">
        <v>1731</v>
      </c>
      <c r="L798" s="288" t="s">
        <v>1773</v>
      </c>
      <c r="M798" s="288" t="s">
        <v>1774</v>
      </c>
      <c r="N798" s="288" t="s">
        <v>1734</v>
      </c>
      <c r="O798" s="289" t="s">
        <v>1791</v>
      </c>
      <c r="P798" s="292"/>
    </row>
    <row r="799" spans="1:16" hidden="1" x14ac:dyDescent="0.25">
      <c r="A799" s="287" t="s">
        <v>3769</v>
      </c>
      <c r="B799" s="311" t="s">
        <v>3770</v>
      </c>
      <c r="C799" s="305"/>
      <c r="D799" s="288" t="s">
        <v>3771</v>
      </c>
      <c r="E799" s="288" t="s">
        <v>1741</v>
      </c>
      <c r="F799" s="289">
        <v>8701761864</v>
      </c>
      <c r="G799" s="290">
        <v>46059</v>
      </c>
      <c r="H799" s="291">
        <v>36865</v>
      </c>
      <c r="I799" s="291">
        <v>0</v>
      </c>
      <c r="J799" s="291">
        <v>0</v>
      </c>
      <c r="K799" s="289" t="s">
        <v>1731</v>
      </c>
      <c r="L799" s="288" t="s">
        <v>1773</v>
      </c>
      <c r="M799" s="288" t="s">
        <v>1774</v>
      </c>
      <c r="N799" s="288" t="s">
        <v>1734</v>
      </c>
      <c r="O799" s="289" t="s">
        <v>1797</v>
      </c>
      <c r="P799" s="292"/>
    </row>
    <row r="800" spans="1:16" hidden="1" x14ac:dyDescent="0.25">
      <c r="A800" s="287" t="s">
        <v>3772</v>
      </c>
      <c r="B800" s="311" t="s">
        <v>3773</v>
      </c>
      <c r="C800" s="305"/>
      <c r="D800" s="288" t="s">
        <v>3774</v>
      </c>
      <c r="E800" s="288"/>
      <c r="F800" s="289"/>
      <c r="G800" s="290">
        <v>45478</v>
      </c>
      <c r="H800" s="291">
        <v>1500</v>
      </c>
      <c r="I800" s="291">
        <v>1500</v>
      </c>
      <c r="J800" s="291">
        <v>-1500</v>
      </c>
      <c r="K800" s="289" t="s">
        <v>1731</v>
      </c>
      <c r="L800" s="288" t="s">
        <v>1773</v>
      </c>
      <c r="M800" s="288" t="s">
        <v>1774</v>
      </c>
      <c r="N800" s="288" t="s">
        <v>1734</v>
      </c>
      <c r="O800" s="289" t="s">
        <v>1791</v>
      </c>
      <c r="P800" s="292"/>
    </row>
    <row r="801" spans="1:16" hidden="1" x14ac:dyDescent="0.25">
      <c r="A801" s="287" t="s">
        <v>3775</v>
      </c>
      <c r="B801" s="311" t="s">
        <v>3776</v>
      </c>
      <c r="C801" s="305"/>
      <c r="D801" s="288" t="s">
        <v>3777</v>
      </c>
      <c r="E801" s="288" t="s">
        <v>1741</v>
      </c>
      <c r="F801" s="289">
        <v>8701763087</v>
      </c>
      <c r="G801" s="290">
        <v>46065</v>
      </c>
      <c r="H801" s="291">
        <v>84630</v>
      </c>
      <c r="I801" s="291">
        <v>84630</v>
      </c>
      <c r="J801" s="291">
        <v>0</v>
      </c>
      <c r="K801" s="289" t="s">
        <v>1731</v>
      </c>
      <c r="L801" s="288" t="s">
        <v>1773</v>
      </c>
      <c r="M801" s="288" t="s">
        <v>1774</v>
      </c>
      <c r="N801" s="288" t="s">
        <v>1734</v>
      </c>
      <c r="O801" s="289" t="s">
        <v>1874</v>
      </c>
      <c r="P801" s="292"/>
    </row>
    <row r="802" spans="1:16" hidden="1" x14ac:dyDescent="0.25">
      <c r="A802" s="287" t="s">
        <v>3775</v>
      </c>
      <c r="B802" s="311" t="s">
        <v>3776</v>
      </c>
      <c r="C802" s="305"/>
      <c r="D802" s="288" t="s">
        <v>3777</v>
      </c>
      <c r="E802" s="288" t="s">
        <v>1741</v>
      </c>
      <c r="F802" s="289">
        <v>8701779959</v>
      </c>
      <c r="G802" s="290">
        <v>46079</v>
      </c>
      <c r="H802" s="291">
        <v>34860</v>
      </c>
      <c r="I802" s="291">
        <v>34860</v>
      </c>
      <c r="J802" s="291">
        <v>0</v>
      </c>
      <c r="K802" s="289" t="s">
        <v>1731</v>
      </c>
      <c r="L802" s="288" t="s">
        <v>1773</v>
      </c>
      <c r="M802" s="288" t="s">
        <v>1774</v>
      </c>
      <c r="N802" s="288" t="s">
        <v>1734</v>
      </c>
      <c r="O802" s="289" t="s">
        <v>1874</v>
      </c>
      <c r="P802" s="292"/>
    </row>
    <row r="803" spans="1:16" hidden="1" x14ac:dyDescent="0.25">
      <c r="A803" s="287" t="s">
        <v>3778</v>
      </c>
      <c r="B803" s="311" t="s">
        <v>3779</v>
      </c>
      <c r="C803" s="305"/>
      <c r="D803" s="288" t="s">
        <v>3780</v>
      </c>
      <c r="E803" s="288" t="s">
        <v>1741</v>
      </c>
      <c r="F803" s="289">
        <v>8701726849</v>
      </c>
      <c r="G803" s="290">
        <v>46037</v>
      </c>
      <c r="H803" s="291">
        <v>51320</v>
      </c>
      <c r="I803" s="291">
        <v>51320</v>
      </c>
      <c r="J803" s="291">
        <v>0</v>
      </c>
      <c r="K803" s="289" t="s">
        <v>1731</v>
      </c>
      <c r="L803" s="288" t="s">
        <v>1732</v>
      </c>
      <c r="M803" s="288" t="s">
        <v>1733</v>
      </c>
      <c r="N803" s="288" t="s">
        <v>1734</v>
      </c>
      <c r="O803" s="289" t="s">
        <v>1874</v>
      </c>
      <c r="P803" s="292"/>
    </row>
    <row r="804" spans="1:16" hidden="1" x14ac:dyDescent="0.25">
      <c r="A804" s="287" t="s">
        <v>3778</v>
      </c>
      <c r="B804" s="311" t="s">
        <v>3779</v>
      </c>
      <c r="C804" s="305"/>
      <c r="D804" s="288" t="s">
        <v>3780</v>
      </c>
      <c r="E804" s="288" t="s">
        <v>1741</v>
      </c>
      <c r="F804" s="289">
        <v>8701715121</v>
      </c>
      <c r="G804" s="290">
        <v>46016</v>
      </c>
      <c r="H804" s="291">
        <v>60130</v>
      </c>
      <c r="I804" s="291">
        <v>60130</v>
      </c>
      <c r="J804" s="291">
        <v>0</v>
      </c>
      <c r="K804" s="289" t="s">
        <v>1731</v>
      </c>
      <c r="L804" s="288" t="s">
        <v>1773</v>
      </c>
      <c r="M804" s="288" t="s">
        <v>1774</v>
      </c>
      <c r="N804" s="288" t="s">
        <v>1734</v>
      </c>
      <c r="O804" s="289" t="s">
        <v>1874</v>
      </c>
      <c r="P804" s="292"/>
    </row>
    <row r="805" spans="1:16" hidden="1" x14ac:dyDescent="0.25">
      <c r="A805" s="287" t="s">
        <v>3781</v>
      </c>
      <c r="B805" s="311" t="s">
        <v>3782</v>
      </c>
      <c r="C805" s="305"/>
      <c r="D805" s="288" t="s">
        <v>3783</v>
      </c>
      <c r="E805" s="288" t="s">
        <v>3784</v>
      </c>
      <c r="F805" s="289">
        <v>8000504366</v>
      </c>
      <c r="G805" s="290">
        <v>44946</v>
      </c>
      <c r="H805" s="291">
        <v>7084.09</v>
      </c>
      <c r="I805" s="291">
        <v>7084.09</v>
      </c>
      <c r="J805" s="291">
        <v>-8018</v>
      </c>
      <c r="K805" s="289" t="s">
        <v>1731</v>
      </c>
      <c r="L805" s="288" t="s">
        <v>1828</v>
      </c>
      <c r="M805" s="288" t="s">
        <v>1829</v>
      </c>
      <c r="N805" s="288" t="s">
        <v>1830</v>
      </c>
      <c r="O805" s="289" t="s">
        <v>2056</v>
      </c>
      <c r="P805" s="292"/>
    </row>
    <row r="806" spans="1:16" hidden="1" x14ac:dyDescent="0.25">
      <c r="A806" s="287" t="s">
        <v>3781</v>
      </c>
      <c r="B806" s="311" t="s">
        <v>3782</v>
      </c>
      <c r="C806" s="305"/>
      <c r="D806" s="288" t="s">
        <v>3783</v>
      </c>
      <c r="E806" s="288" t="s">
        <v>3784</v>
      </c>
      <c r="F806" s="289">
        <v>8000504366</v>
      </c>
      <c r="G806" s="290">
        <v>45279</v>
      </c>
      <c r="H806" s="291">
        <v>933.91</v>
      </c>
      <c r="I806" s="291">
        <v>933.91</v>
      </c>
      <c r="J806" s="291">
        <v>-8018</v>
      </c>
      <c r="K806" s="289" t="s">
        <v>1731</v>
      </c>
      <c r="L806" s="288" t="s">
        <v>2706</v>
      </c>
      <c r="M806" s="288" t="s">
        <v>2707</v>
      </c>
      <c r="N806" s="288" t="s">
        <v>1830</v>
      </c>
      <c r="O806" s="289" t="s">
        <v>2056</v>
      </c>
      <c r="P806" s="292"/>
    </row>
    <row r="807" spans="1:16" hidden="1" x14ac:dyDescent="0.25">
      <c r="A807" s="287" t="s">
        <v>3785</v>
      </c>
      <c r="B807" s="311" t="s">
        <v>3786</v>
      </c>
      <c r="C807" s="305"/>
      <c r="D807" s="288" t="s">
        <v>3787</v>
      </c>
      <c r="E807" s="288" t="s">
        <v>3788</v>
      </c>
      <c r="F807" s="289">
        <v>8000772937</v>
      </c>
      <c r="G807" s="290">
        <v>45960</v>
      </c>
      <c r="H807" s="291">
        <v>157452.92000000001</v>
      </c>
      <c r="I807" s="291">
        <v>157452.92000000001</v>
      </c>
      <c r="J807" s="291">
        <v>0</v>
      </c>
      <c r="K807" s="289" t="s">
        <v>1731</v>
      </c>
      <c r="L807" s="288" t="s">
        <v>1732</v>
      </c>
      <c r="M807" s="288" t="s">
        <v>1733</v>
      </c>
      <c r="N807" s="288" t="s">
        <v>1734</v>
      </c>
      <c r="O807" s="289" t="s">
        <v>3207</v>
      </c>
      <c r="P807" s="292"/>
    </row>
    <row r="808" spans="1:16" hidden="1" x14ac:dyDescent="0.25">
      <c r="A808" s="287" t="s">
        <v>3789</v>
      </c>
      <c r="B808" s="311" t="s">
        <v>3790</v>
      </c>
      <c r="C808" s="305"/>
      <c r="D808" s="288" t="s">
        <v>3791</v>
      </c>
      <c r="E808" s="288" t="s">
        <v>1741</v>
      </c>
      <c r="F808" s="289">
        <v>8700969970</v>
      </c>
      <c r="G808" s="290">
        <v>45167</v>
      </c>
      <c r="H808" s="291">
        <v>47040</v>
      </c>
      <c r="I808" s="291">
        <v>47040</v>
      </c>
      <c r="J808" s="291">
        <v>-47040</v>
      </c>
      <c r="K808" s="289" t="s">
        <v>1731</v>
      </c>
      <c r="L808" s="288" t="s">
        <v>1773</v>
      </c>
      <c r="M808" s="288" t="s">
        <v>1774</v>
      </c>
      <c r="N808" s="288" t="s">
        <v>1734</v>
      </c>
      <c r="O808" s="289" t="s">
        <v>3052</v>
      </c>
      <c r="P808" s="292"/>
    </row>
    <row r="809" spans="1:16" hidden="1" x14ac:dyDescent="0.25">
      <c r="A809" s="287" t="s">
        <v>3792</v>
      </c>
      <c r="B809" s="311" t="s">
        <v>3793</v>
      </c>
      <c r="C809" s="305"/>
      <c r="D809" s="288" t="s">
        <v>3794</v>
      </c>
      <c r="E809" s="288"/>
      <c r="F809" s="289">
        <v>8701448199</v>
      </c>
      <c r="G809" s="290">
        <v>45729</v>
      </c>
      <c r="H809" s="291">
        <v>1800</v>
      </c>
      <c r="I809" s="291">
        <v>1800</v>
      </c>
      <c r="J809" s="291">
        <v>0</v>
      </c>
      <c r="K809" s="289" t="s">
        <v>1731</v>
      </c>
      <c r="L809" s="288" t="s">
        <v>1732</v>
      </c>
      <c r="M809" s="288" t="s">
        <v>1733</v>
      </c>
      <c r="N809" s="288" t="s">
        <v>1734</v>
      </c>
      <c r="O809" s="289" t="s">
        <v>2901</v>
      </c>
      <c r="P809" s="292"/>
    </row>
    <row r="810" spans="1:16" hidden="1" x14ac:dyDescent="0.25">
      <c r="A810" s="287" t="s">
        <v>3795</v>
      </c>
      <c r="B810" s="311" t="s">
        <v>3796</v>
      </c>
      <c r="C810" s="305"/>
      <c r="D810" s="288" t="s">
        <v>3710</v>
      </c>
      <c r="E810" s="288" t="s">
        <v>3797</v>
      </c>
      <c r="F810" s="289"/>
      <c r="G810" s="290">
        <v>45245</v>
      </c>
      <c r="H810" s="291">
        <v>65898.350000000006</v>
      </c>
      <c r="I810" s="291">
        <v>65898.350000000006</v>
      </c>
      <c r="J810" s="291">
        <v>-65438.9</v>
      </c>
      <c r="K810" s="289" t="s">
        <v>1731</v>
      </c>
      <c r="L810" s="288" t="s">
        <v>2706</v>
      </c>
      <c r="M810" s="288" t="s">
        <v>2707</v>
      </c>
      <c r="N810" s="288" t="s">
        <v>1830</v>
      </c>
      <c r="O810" s="289" t="s">
        <v>1791</v>
      </c>
      <c r="P810" s="292"/>
    </row>
    <row r="811" spans="1:16" hidden="1" x14ac:dyDescent="0.25">
      <c r="A811" s="287" t="s">
        <v>3798</v>
      </c>
      <c r="B811" s="311" t="s">
        <v>3799</v>
      </c>
      <c r="C811" s="305"/>
      <c r="D811" s="288" t="s">
        <v>3800</v>
      </c>
      <c r="E811" s="288"/>
      <c r="F811" s="289">
        <v>8701558974</v>
      </c>
      <c r="G811" s="290">
        <v>45827</v>
      </c>
      <c r="H811" s="291">
        <v>32400</v>
      </c>
      <c r="I811" s="291">
        <v>32400</v>
      </c>
      <c r="J811" s="291">
        <v>0</v>
      </c>
      <c r="K811" s="289" t="s">
        <v>1731</v>
      </c>
      <c r="L811" s="288" t="s">
        <v>1732</v>
      </c>
      <c r="M811" s="288" t="s">
        <v>1733</v>
      </c>
      <c r="N811" s="288" t="s">
        <v>1734</v>
      </c>
      <c r="O811" s="289" t="s">
        <v>1796</v>
      </c>
      <c r="P811" s="292"/>
    </row>
    <row r="812" spans="1:16" hidden="1" x14ac:dyDescent="0.25">
      <c r="A812" s="287" t="s">
        <v>3801</v>
      </c>
      <c r="B812" s="311" t="s">
        <v>3802</v>
      </c>
      <c r="C812" s="305"/>
      <c r="D812" s="288" t="s">
        <v>3803</v>
      </c>
      <c r="E812" s="288" t="s">
        <v>1741</v>
      </c>
      <c r="F812" s="289">
        <v>8701045417</v>
      </c>
      <c r="G812" s="290">
        <v>45253</v>
      </c>
      <c r="H812" s="291">
        <v>6011.7</v>
      </c>
      <c r="I812" s="291">
        <v>6011.7</v>
      </c>
      <c r="J812" s="291">
        <v>-6011.7</v>
      </c>
      <c r="K812" s="289" t="s">
        <v>1731</v>
      </c>
      <c r="L812" s="288" t="s">
        <v>1732</v>
      </c>
      <c r="M812" s="288" t="s">
        <v>1733</v>
      </c>
      <c r="N812" s="288" t="s">
        <v>1734</v>
      </c>
      <c r="O812" s="289" t="s">
        <v>3052</v>
      </c>
      <c r="P812" s="292"/>
    </row>
    <row r="813" spans="1:16" hidden="1" x14ac:dyDescent="0.25">
      <c r="A813" s="287" t="s">
        <v>3804</v>
      </c>
      <c r="B813" s="311" t="s">
        <v>3805</v>
      </c>
      <c r="C813" s="305"/>
      <c r="D813" s="288" t="s">
        <v>3806</v>
      </c>
      <c r="E813" s="288" t="s">
        <v>1741</v>
      </c>
      <c r="F813" s="289">
        <v>8701058856</v>
      </c>
      <c r="G813" s="290">
        <v>45268</v>
      </c>
      <c r="H813" s="291">
        <v>45000</v>
      </c>
      <c r="I813" s="291">
        <v>45000</v>
      </c>
      <c r="J813" s="291">
        <v>-45000</v>
      </c>
      <c r="K813" s="289" t="s">
        <v>1731</v>
      </c>
      <c r="L813" s="288" t="s">
        <v>1773</v>
      </c>
      <c r="M813" s="288" t="s">
        <v>1774</v>
      </c>
      <c r="N813" s="288" t="s">
        <v>1734</v>
      </c>
      <c r="O813" s="289" t="s">
        <v>3052</v>
      </c>
      <c r="P813" s="292"/>
    </row>
    <row r="814" spans="1:16" hidden="1" x14ac:dyDescent="0.25">
      <c r="A814" s="287" t="s">
        <v>3807</v>
      </c>
      <c r="B814" s="311" t="s">
        <v>3808</v>
      </c>
      <c r="C814" s="305"/>
      <c r="D814" s="288" t="s">
        <v>3809</v>
      </c>
      <c r="E814" s="288" t="s">
        <v>3810</v>
      </c>
      <c r="F814" s="289">
        <v>8701585442</v>
      </c>
      <c r="G814" s="290">
        <v>45862</v>
      </c>
      <c r="H814" s="291">
        <v>0.02</v>
      </c>
      <c r="I814" s="291">
        <v>0.02</v>
      </c>
      <c r="J814" s="291">
        <v>-0.02</v>
      </c>
      <c r="K814" s="289" t="s">
        <v>1731</v>
      </c>
      <c r="L814" s="288" t="s">
        <v>1773</v>
      </c>
      <c r="M814" s="288" t="s">
        <v>1774</v>
      </c>
      <c r="N814" s="288" t="s">
        <v>1734</v>
      </c>
      <c r="O814" s="289" t="s">
        <v>1914</v>
      </c>
      <c r="P814" s="292"/>
    </row>
    <row r="815" spans="1:16" hidden="1" x14ac:dyDescent="0.25">
      <c r="A815" s="287" t="s">
        <v>3811</v>
      </c>
      <c r="B815" s="311" t="s">
        <v>3812</v>
      </c>
      <c r="C815" s="305"/>
      <c r="D815" s="288" t="s">
        <v>3813</v>
      </c>
      <c r="E815" s="288" t="s">
        <v>1741</v>
      </c>
      <c r="F815" s="289">
        <v>8701123874</v>
      </c>
      <c r="G815" s="290">
        <v>45343</v>
      </c>
      <c r="H815" s="291">
        <v>12476</v>
      </c>
      <c r="I815" s="291">
        <v>12476</v>
      </c>
      <c r="J815" s="291">
        <v>-12476</v>
      </c>
      <c r="K815" s="289" t="s">
        <v>1731</v>
      </c>
      <c r="L815" s="288" t="s">
        <v>1732</v>
      </c>
      <c r="M815" s="288" t="s">
        <v>1733</v>
      </c>
      <c r="N815" s="288" t="s">
        <v>1734</v>
      </c>
      <c r="O815" s="289" t="s">
        <v>3052</v>
      </c>
      <c r="P815" s="292"/>
    </row>
    <row r="816" spans="1:16" hidden="1" x14ac:dyDescent="0.25">
      <c r="A816" s="287" t="s">
        <v>3814</v>
      </c>
      <c r="B816" s="311" t="s">
        <v>3815</v>
      </c>
      <c r="C816" s="305"/>
      <c r="D816" s="288" t="s">
        <v>3816</v>
      </c>
      <c r="E816" s="288" t="s">
        <v>1741</v>
      </c>
      <c r="F816" s="289">
        <v>8701134134</v>
      </c>
      <c r="G816" s="290">
        <v>45352</v>
      </c>
      <c r="H816" s="291">
        <v>40000</v>
      </c>
      <c r="I816" s="291">
        <v>40000</v>
      </c>
      <c r="J816" s="291">
        <v>-40000</v>
      </c>
      <c r="K816" s="289" t="s">
        <v>1731</v>
      </c>
      <c r="L816" s="288" t="s">
        <v>1773</v>
      </c>
      <c r="M816" s="288" t="s">
        <v>1774</v>
      </c>
      <c r="N816" s="288" t="s">
        <v>1734</v>
      </c>
      <c r="O816" s="289" t="s">
        <v>3052</v>
      </c>
      <c r="P816" s="292"/>
    </row>
    <row r="817" spans="1:16" hidden="1" x14ac:dyDescent="0.25">
      <c r="A817" s="287" t="s">
        <v>3817</v>
      </c>
      <c r="B817" s="311" t="s">
        <v>3818</v>
      </c>
      <c r="C817" s="305"/>
      <c r="D817" s="288" t="s">
        <v>3819</v>
      </c>
      <c r="E817" s="288"/>
      <c r="F817" s="289">
        <v>8701185732</v>
      </c>
      <c r="G817" s="290">
        <v>45407</v>
      </c>
      <c r="H817" s="291">
        <v>96250</v>
      </c>
      <c r="I817" s="291">
        <v>96250</v>
      </c>
      <c r="J817" s="291">
        <v>-96250</v>
      </c>
      <c r="K817" s="289" t="s">
        <v>1731</v>
      </c>
      <c r="L817" s="288" t="s">
        <v>1773</v>
      </c>
      <c r="M817" s="288" t="s">
        <v>1774</v>
      </c>
      <c r="N817" s="288" t="s">
        <v>1734</v>
      </c>
      <c r="O817" s="289" t="s">
        <v>2901</v>
      </c>
      <c r="P817" s="292"/>
    </row>
    <row r="818" spans="1:16" hidden="1" x14ac:dyDescent="0.25">
      <c r="A818" s="287" t="s">
        <v>3820</v>
      </c>
      <c r="B818" s="311" t="s">
        <v>3821</v>
      </c>
      <c r="C818" s="305"/>
      <c r="D818" s="288" t="s">
        <v>3822</v>
      </c>
      <c r="E818" s="288" t="s">
        <v>1741</v>
      </c>
      <c r="F818" s="289">
        <v>8701153234</v>
      </c>
      <c r="G818" s="290">
        <v>45378</v>
      </c>
      <c r="H818" s="291">
        <v>19000</v>
      </c>
      <c r="I818" s="291">
        <v>19000</v>
      </c>
      <c r="J818" s="291">
        <v>-19000</v>
      </c>
      <c r="K818" s="289" t="s">
        <v>1731</v>
      </c>
      <c r="L818" s="288" t="s">
        <v>1773</v>
      </c>
      <c r="M818" s="288" t="s">
        <v>1774</v>
      </c>
      <c r="N818" s="288" t="s">
        <v>1734</v>
      </c>
      <c r="O818" s="289" t="s">
        <v>3052</v>
      </c>
      <c r="P818" s="292"/>
    </row>
    <row r="819" spans="1:16" hidden="1" x14ac:dyDescent="0.25">
      <c r="A819" s="287" t="s">
        <v>3823</v>
      </c>
      <c r="B819" s="311" t="s">
        <v>3824</v>
      </c>
      <c r="C819" s="305"/>
      <c r="D819" s="288" t="s">
        <v>3825</v>
      </c>
      <c r="E819" s="288" t="s">
        <v>3826</v>
      </c>
      <c r="F819" s="289"/>
      <c r="G819" s="290">
        <v>45538</v>
      </c>
      <c r="H819" s="291">
        <v>164210</v>
      </c>
      <c r="I819" s="291">
        <v>164210</v>
      </c>
      <c r="J819" s="291">
        <v>-164210</v>
      </c>
      <c r="K819" s="289" t="s">
        <v>1731</v>
      </c>
      <c r="L819" s="288" t="s">
        <v>1773</v>
      </c>
      <c r="M819" s="288" t="s">
        <v>1774</v>
      </c>
      <c r="N819" s="288" t="s">
        <v>1734</v>
      </c>
      <c r="O819" s="289" t="s">
        <v>1791</v>
      </c>
      <c r="P819" s="292"/>
    </row>
    <row r="820" spans="1:16" hidden="1" x14ac:dyDescent="0.25">
      <c r="A820" s="287" t="s">
        <v>3827</v>
      </c>
      <c r="B820" s="311" t="s">
        <v>3828</v>
      </c>
      <c r="C820" s="305"/>
      <c r="D820" s="288" t="s">
        <v>3829</v>
      </c>
      <c r="E820" s="288" t="s">
        <v>1741</v>
      </c>
      <c r="F820" s="289">
        <v>8701769643</v>
      </c>
      <c r="G820" s="290">
        <v>46072</v>
      </c>
      <c r="H820" s="291">
        <v>12850</v>
      </c>
      <c r="I820" s="291">
        <v>0</v>
      </c>
      <c r="J820" s="291">
        <v>0</v>
      </c>
      <c r="K820" s="289" t="s">
        <v>1731</v>
      </c>
      <c r="L820" s="288" t="s">
        <v>1773</v>
      </c>
      <c r="M820" s="288" t="s">
        <v>1774</v>
      </c>
      <c r="N820" s="288" t="s">
        <v>1734</v>
      </c>
      <c r="O820" s="289" t="s">
        <v>1744</v>
      </c>
      <c r="P820" s="292"/>
    </row>
    <row r="821" spans="1:16" hidden="1" x14ac:dyDescent="0.25">
      <c r="A821" s="287" t="s">
        <v>3830</v>
      </c>
      <c r="B821" s="311" t="s">
        <v>3831</v>
      </c>
      <c r="C821" s="305"/>
      <c r="D821" s="288" t="s">
        <v>3710</v>
      </c>
      <c r="E821" s="288" t="s">
        <v>3832</v>
      </c>
      <c r="F821" s="289"/>
      <c r="G821" s="290">
        <v>45498</v>
      </c>
      <c r="H821" s="291">
        <v>148791.95000000001</v>
      </c>
      <c r="I821" s="291">
        <v>148791.95000000001</v>
      </c>
      <c r="J821" s="291">
        <v>-148791.95000000001</v>
      </c>
      <c r="K821" s="289" t="s">
        <v>1731</v>
      </c>
      <c r="L821" s="288" t="s">
        <v>1828</v>
      </c>
      <c r="M821" s="288" t="s">
        <v>1829</v>
      </c>
      <c r="N821" s="288" t="s">
        <v>1830</v>
      </c>
      <c r="O821" s="289" t="s">
        <v>1791</v>
      </c>
      <c r="P821" s="292"/>
    </row>
    <row r="822" spans="1:16" hidden="1" x14ac:dyDescent="0.25">
      <c r="A822" s="287" t="s">
        <v>3833</v>
      </c>
      <c r="B822" s="311" t="s">
        <v>3834</v>
      </c>
      <c r="C822" s="305"/>
      <c r="D822" s="288" t="s">
        <v>3835</v>
      </c>
      <c r="E822" s="288" t="s">
        <v>3836</v>
      </c>
      <c r="F822" s="289"/>
      <c r="G822" s="290">
        <v>45474</v>
      </c>
      <c r="H822" s="291">
        <v>60000</v>
      </c>
      <c r="I822" s="291">
        <v>60000</v>
      </c>
      <c r="J822" s="291">
        <v>-60000</v>
      </c>
      <c r="K822" s="289" t="s">
        <v>1731</v>
      </c>
      <c r="L822" s="288" t="s">
        <v>2164</v>
      </c>
      <c r="M822" s="288" t="s">
        <v>2165</v>
      </c>
      <c r="N822" s="288" t="s">
        <v>1734</v>
      </c>
      <c r="O822" s="289" t="s">
        <v>1791</v>
      </c>
      <c r="P822" s="292"/>
    </row>
    <row r="823" spans="1:16" hidden="1" x14ac:dyDescent="0.25">
      <c r="A823" s="287" t="s">
        <v>3837</v>
      </c>
      <c r="B823" s="311" t="s">
        <v>3838</v>
      </c>
      <c r="C823" s="305"/>
      <c r="D823" s="288" t="s">
        <v>3839</v>
      </c>
      <c r="E823" s="288" t="s">
        <v>3840</v>
      </c>
      <c r="F823" s="289"/>
      <c r="G823" s="290">
        <v>45460</v>
      </c>
      <c r="H823" s="291">
        <v>60000</v>
      </c>
      <c r="I823" s="291">
        <v>60000</v>
      </c>
      <c r="J823" s="291">
        <v>-60000</v>
      </c>
      <c r="K823" s="289" t="s">
        <v>1731</v>
      </c>
      <c r="L823" s="288" t="s">
        <v>2164</v>
      </c>
      <c r="M823" s="288" t="s">
        <v>2165</v>
      </c>
      <c r="N823" s="288" t="s">
        <v>1734</v>
      </c>
      <c r="O823" s="289" t="s">
        <v>1791</v>
      </c>
      <c r="P823" s="292"/>
    </row>
    <row r="824" spans="1:16" hidden="1" x14ac:dyDescent="0.25">
      <c r="A824" s="287" t="s">
        <v>3841</v>
      </c>
      <c r="B824" s="311" t="s">
        <v>3842</v>
      </c>
      <c r="C824" s="305"/>
      <c r="D824" s="288" t="s">
        <v>3843</v>
      </c>
      <c r="E824" s="288" t="s">
        <v>3844</v>
      </c>
      <c r="F824" s="289"/>
      <c r="G824" s="290">
        <v>45568</v>
      </c>
      <c r="H824" s="291">
        <v>198000</v>
      </c>
      <c r="I824" s="291">
        <v>198000</v>
      </c>
      <c r="J824" s="291">
        <v>-218000</v>
      </c>
      <c r="K824" s="289" t="s">
        <v>1731</v>
      </c>
      <c r="L824" s="288" t="s">
        <v>2164</v>
      </c>
      <c r="M824" s="288" t="s">
        <v>2165</v>
      </c>
      <c r="N824" s="288" t="s">
        <v>1734</v>
      </c>
      <c r="O824" s="289" t="s">
        <v>1791</v>
      </c>
      <c r="P824" s="292"/>
    </row>
    <row r="825" spans="1:16" hidden="1" x14ac:dyDescent="0.25">
      <c r="A825" s="287" t="s">
        <v>3841</v>
      </c>
      <c r="B825" s="311" t="s">
        <v>3842</v>
      </c>
      <c r="C825" s="305"/>
      <c r="D825" s="288" t="s">
        <v>3843</v>
      </c>
      <c r="E825" s="288" t="s">
        <v>3844</v>
      </c>
      <c r="F825" s="289"/>
      <c r="G825" s="290">
        <v>45446</v>
      </c>
      <c r="H825" s="291">
        <v>20000</v>
      </c>
      <c r="I825" s="291">
        <v>20000</v>
      </c>
      <c r="J825" s="291">
        <v>-218000</v>
      </c>
      <c r="K825" s="289" t="s">
        <v>1731</v>
      </c>
      <c r="L825" s="288" t="s">
        <v>2706</v>
      </c>
      <c r="M825" s="288" t="s">
        <v>2707</v>
      </c>
      <c r="N825" s="288" t="s">
        <v>1830</v>
      </c>
      <c r="O825" s="289" t="s">
        <v>1791</v>
      </c>
      <c r="P825" s="292"/>
    </row>
    <row r="826" spans="1:16" hidden="1" x14ac:dyDescent="0.25">
      <c r="A826" s="287" t="s">
        <v>3845</v>
      </c>
      <c r="B826" s="311" t="s">
        <v>3846</v>
      </c>
      <c r="C826" s="305"/>
      <c r="D826" s="288" t="s">
        <v>3847</v>
      </c>
      <c r="E826" s="288" t="s">
        <v>3848</v>
      </c>
      <c r="F826" s="289"/>
      <c r="G826" s="290">
        <v>45446</v>
      </c>
      <c r="H826" s="291">
        <v>0.46</v>
      </c>
      <c r="I826" s="291">
        <v>0.46</v>
      </c>
      <c r="J826" s="291">
        <v>-0.46</v>
      </c>
      <c r="K826" s="289" t="s">
        <v>1731</v>
      </c>
      <c r="L826" s="288" t="s">
        <v>2164</v>
      </c>
      <c r="M826" s="288" t="s">
        <v>2165</v>
      </c>
      <c r="N826" s="288" t="s">
        <v>1734</v>
      </c>
      <c r="O826" s="289" t="s">
        <v>1791</v>
      </c>
      <c r="P826" s="292"/>
    </row>
    <row r="827" spans="1:16" hidden="1" x14ac:dyDescent="0.25">
      <c r="A827" s="287" t="s">
        <v>3849</v>
      </c>
      <c r="B827" s="311" t="s">
        <v>3850</v>
      </c>
      <c r="C827" s="305"/>
      <c r="D827" s="288" t="s">
        <v>3851</v>
      </c>
      <c r="E827" s="288" t="s">
        <v>3852</v>
      </c>
      <c r="F827" s="289"/>
      <c r="G827" s="290">
        <v>45461</v>
      </c>
      <c r="H827" s="291">
        <v>0.38</v>
      </c>
      <c r="I827" s="291">
        <v>0.38</v>
      </c>
      <c r="J827" s="291">
        <v>0</v>
      </c>
      <c r="K827" s="289" t="s">
        <v>1731</v>
      </c>
      <c r="L827" s="288" t="s">
        <v>2164</v>
      </c>
      <c r="M827" s="288" t="s">
        <v>2165</v>
      </c>
      <c r="N827" s="288" t="s">
        <v>1734</v>
      </c>
      <c r="O827" s="289" t="s">
        <v>1791</v>
      </c>
      <c r="P827" s="292"/>
    </row>
    <row r="828" spans="1:16" hidden="1" x14ac:dyDescent="0.25">
      <c r="A828" s="287" t="s">
        <v>3853</v>
      </c>
      <c r="B828" s="311" t="s">
        <v>3854</v>
      </c>
      <c r="C828" s="305"/>
      <c r="D828" s="288" t="s">
        <v>3855</v>
      </c>
      <c r="E828" s="288" t="s">
        <v>3856</v>
      </c>
      <c r="F828" s="289">
        <v>8000725728</v>
      </c>
      <c r="G828" s="290">
        <v>45706</v>
      </c>
      <c r="H828" s="291">
        <v>73000</v>
      </c>
      <c r="I828" s="291">
        <v>73000</v>
      </c>
      <c r="J828" s="291">
        <v>-73000</v>
      </c>
      <c r="K828" s="289" t="s">
        <v>1731</v>
      </c>
      <c r="L828" s="288" t="s">
        <v>2164</v>
      </c>
      <c r="M828" s="288" t="s">
        <v>2165</v>
      </c>
      <c r="N828" s="288" t="s">
        <v>1734</v>
      </c>
      <c r="O828" s="289" t="s">
        <v>1737</v>
      </c>
      <c r="P828" s="292"/>
    </row>
    <row r="829" spans="1:16" hidden="1" x14ac:dyDescent="0.25">
      <c r="A829" s="287" t="s">
        <v>3857</v>
      </c>
      <c r="B829" s="311" t="s">
        <v>3858</v>
      </c>
      <c r="C829" s="305"/>
      <c r="D829" s="288" t="s">
        <v>3859</v>
      </c>
      <c r="E829" s="288" t="s">
        <v>3860</v>
      </c>
      <c r="F829" s="289"/>
      <c r="G829" s="290">
        <v>45552</v>
      </c>
      <c r="H829" s="291">
        <v>5699</v>
      </c>
      <c r="I829" s="291">
        <v>5699</v>
      </c>
      <c r="J829" s="291">
        <v>-5699</v>
      </c>
      <c r="K829" s="289" t="s">
        <v>1731</v>
      </c>
      <c r="L829" s="288" t="s">
        <v>2164</v>
      </c>
      <c r="M829" s="288" t="s">
        <v>2165</v>
      </c>
      <c r="N829" s="288" t="s">
        <v>1734</v>
      </c>
      <c r="O829" s="289" t="s">
        <v>1791</v>
      </c>
      <c r="P829" s="292"/>
    </row>
    <row r="830" spans="1:16" hidden="1" x14ac:dyDescent="0.25">
      <c r="A830" s="287" t="s">
        <v>3861</v>
      </c>
      <c r="B830" s="311" t="s">
        <v>3862</v>
      </c>
      <c r="C830" s="305"/>
      <c r="D830" s="288" t="s">
        <v>3863</v>
      </c>
      <c r="E830" s="288" t="s">
        <v>3864</v>
      </c>
      <c r="F830" s="289"/>
      <c r="G830" s="290">
        <v>45496</v>
      </c>
      <c r="H830" s="291">
        <v>15000</v>
      </c>
      <c r="I830" s="291">
        <v>15000</v>
      </c>
      <c r="J830" s="291">
        <v>-1896</v>
      </c>
      <c r="K830" s="289" t="s">
        <v>1731</v>
      </c>
      <c r="L830" s="288" t="s">
        <v>2164</v>
      </c>
      <c r="M830" s="288" t="s">
        <v>2165</v>
      </c>
      <c r="N830" s="288" t="s">
        <v>1734</v>
      </c>
      <c r="O830" s="289" t="s">
        <v>1791</v>
      </c>
      <c r="P830" s="292"/>
    </row>
    <row r="831" spans="1:16" hidden="1" x14ac:dyDescent="0.25">
      <c r="A831" s="287" t="s">
        <v>3865</v>
      </c>
      <c r="B831" s="311" t="s">
        <v>3866</v>
      </c>
      <c r="C831" s="305"/>
      <c r="D831" s="288" t="s">
        <v>3867</v>
      </c>
      <c r="E831" s="288" t="s">
        <v>3868</v>
      </c>
      <c r="F831" s="289"/>
      <c r="G831" s="290">
        <v>45496</v>
      </c>
      <c r="H831" s="291">
        <v>17500</v>
      </c>
      <c r="I831" s="291">
        <v>17500</v>
      </c>
      <c r="J831" s="291">
        <v>-17500</v>
      </c>
      <c r="K831" s="289" t="s">
        <v>1731</v>
      </c>
      <c r="L831" s="288" t="s">
        <v>2164</v>
      </c>
      <c r="M831" s="288" t="s">
        <v>2165</v>
      </c>
      <c r="N831" s="288" t="s">
        <v>1734</v>
      </c>
      <c r="O831" s="289" t="s">
        <v>1791</v>
      </c>
      <c r="P831" s="292"/>
    </row>
    <row r="832" spans="1:16" hidden="1" x14ac:dyDescent="0.25">
      <c r="A832" s="287" t="s">
        <v>3869</v>
      </c>
      <c r="B832" s="311" t="s">
        <v>3870</v>
      </c>
      <c r="C832" s="305"/>
      <c r="D832" s="288" t="s">
        <v>3871</v>
      </c>
      <c r="E832" s="288" t="s">
        <v>3872</v>
      </c>
      <c r="F832" s="289"/>
      <c r="G832" s="290">
        <v>45477</v>
      </c>
      <c r="H832" s="291">
        <v>10000</v>
      </c>
      <c r="I832" s="291">
        <v>10000</v>
      </c>
      <c r="J832" s="291">
        <v>-10000</v>
      </c>
      <c r="K832" s="289" t="s">
        <v>1731</v>
      </c>
      <c r="L832" s="288" t="s">
        <v>2164</v>
      </c>
      <c r="M832" s="288" t="s">
        <v>2165</v>
      </c>
      <c r="N832" s="288" t="s">
        <v>1734</v>
      </c>
      <c r="O832" s="289" t="s">
        <v>1791</v>
      </c>
      <c r="P832" s="292"/>
    </row>
    <row r="833" spans="1:16" hidden="1" x14ac:dyDescent="0.25">
      <c r="A833" s="287" t="s">
        <v>3873</v>
      </c>
      <c r="B833" s="311" t="s">
        <v>3874</v>
      </c>
      <c r="C833" s="305"/>
      <c r="D833" s="288" t="s">
        <v>3875</v>
      </c>
      <c r="E833" s="288" t="s">
        <v>3876</v>
      </c>
      <c r="F833" s="289"/>
      <c r="G833" s="290">
        <v>45478</v>
      </c>
      <c r="H833" s="291">
        <v>17000</v>
      </c>
      <c r="I833" s="291">
        <v>17000</v>
      </c>
      <c r="J833" s="291">
        <v>-17000</v>
      </c>
      <c r="K833" s="289" t="s">
        <v>1731</v>
      </c>
      <c r="L833" s="288" t="s">
        <v>2164</v>
      </c>
      <c r="M833" s="288" t="s">
        <v>2165</v>
      </c>
      <c r="N833" s="288" t="s">
        <v>1734</v>
      </c>
      <c r="O833" s="289" t="s">
        <v>1791</v>
      </c>
      <c r="P833" s="292"/>
    </row>
    <row r="834" spans="1:16" hidden="1" x14ac:dyDescent="0.25">
      <c r="A834" s="287" t="s">
        <v>3877</v>
      </c>
      <c r="B834" s="311" t="s">
        <v>3878</v>
      </c>
      <c r="C834" s="305"/>
      <c r="D834" s="288" t="s">
        <v>3879</v>
      </c>
      <c r="E834" s="288" t="s">
        <v>3880</v>
      </c>
      <c r="F834" s="289">
        <v>8000726080</v>
      </c>
      <c r="G834" s="290">
        <v>45603</v>
      </c>
      <c r="H834" s="291">
        <v>4000</v>
      </c>
      <c r="I834" s="291">
        <v>4000</v>
      </c>
      <c r="J834" s="291">
        <v>-4000</v>
      </c>
      <c r="K834" s="289" t="s">
        <v>1731</v>
      </c>
      <c r="L834" s="288" t="s">
        <v>1732</v>
      </c>
      <c r="M834" s="288" t="s">
        <v>1733</v>
      </c>
      <c r="N834" s="288" t="s">
        <v>1734</v>
      </c>
      <c r="O834" s="289" t="s">
        <v>2589</v>
      </c>
      <c r="P834" s="292"/>
    </row>
    <row r="835" spans="1:16" hidden="1" x14ac:dyDescent="0.25">
      <c r="A835" s="287" t="s">
        <v>3881</v>
      </c>
      <c r="B835" s="311" t="s">
        <v>3882</v>
      </c>
      <c r="C835" s="305"/>
      <c r="D835" s="288" t="s">
        <v>3883</v>
      </c>
      <c r="E835" s="288" t="s">
        <v>3884</v>
      </c>
      <c r="F835" s="289"/>
      <c r="G835" s="290">
        <v>45496</v>
      </c>
      <c r="H835" s="291">
        <v>26000</v>
      </c>
      <c r="I835" s="291">
        <v>26000</v>
      </c>
      <c r="J835" s="291">
        <v>-26000</v>
      </c>
      <c r="K835" s="289" t="s">
        <v>1731</v>
      </c>
      <c r="L835" s="288" t="s">
        <v>2164</v>
      </c>
      <c r="M835" s="288" t="s">
        <v>2165</v>
      </c>
      <c r="N835" s="288" t="s">
        <v>1734</v>
      </c>
      <c r="O835" s="289" t="s">
        <v>1791</v>
      </c>
      <c r="P835" s="292"/>
    </row>
    <row r="836" spans="1:16" hidden="1" x14ac:dyDescent="0.25">
      <c r="A836" s="287" t="s">
        <v>3885</v>
      </c>
      <c r="B836" s="311" t="s">
        <v>3886</v>
      </c>
      <c r="C836" s="305"/>
      <c r="D836" s="288" t="s">
        <v>3887</v>
      </c>
      <c r="E836" s="288" t="s">
        <v>3888</v>
      </c>
      <c r="F836" s="289"/>
      <c r="G836" s="290">
        <v>45527</v>
      </c>
      <c r="H836" s="291">
        <v>20000</v>
      </c>
      <c r="I836" s="291">
        <v>20000</v>
      </c>
      <c r="J836" s="291">
        <v>-20000</v>
      </c>
      <c r="K836" s="289" t="s">
        <v>1731</v>
      </c>
      <c r="L836" s="288" t="s">
        <v>2164</v>
      </c>
      <c r="M836" s="288" t="s">
        <v>2165</v>
      </c>
      <c r="N836" s="288" t="s">
        <v>1734</v>
      </c>
      <c r="O836" s="289" t="s">
        <v>1791</v>
      </c>
      <c r="P836" s="292"/>
    </row>
    <row r="837" spans="1:16" hidden="1" x14ac:dyDescent="0.25">
      <c r="A837" s="287" t="s">
        <v>3889</v>
      </c>
      <c r="B837" s="311" t="s">
        <v>3890</v>
      </c>
      <c r="C837" s="305"/>
      <c r="D837" s="288" t="s">
        <v>3891</v>
      </c>
      <c r="E837" s="288" t="s">
        <v>3892</v>
      </c>
      <c r="F837" s="289"/>
      <c r="G837" s="290">
        <v>45503</v>
      </c>
      <c r="H837" s="291">
        <v>28000</v>
      </c>
      <c r="I837" s="291">
        <v>28000</v>
      </c>
      <c r="J837" s="291">
        <v>0</v>
      </c>
      <c r="K837" s="289" t="s">
        <v>1731</v>
      </c>
      <c r="L837" s="288" t="s">
        <v>2164</v>
      </c>
      <c r="M837" s="288" t="s">
        <v>2165</v>
      </c>
      <c r="N837" s="288" t="s">
        <v>1734</v>
      </c>
      <c r="O837" s="289" t="s">
        <v>1791</v>
      </c>
      <c r="P837" s="292"/>
    </row>
    <row r="838" spans="1:16" hidden="1" x14ac:dyDescent="0.25">
      <c r="A838" s="287" t="s">
        <v>3893</v>
      </c>
      <c r="B838" s="311" t="s">
        <v>3894</v>
      </c>
      <c r="C838" s="305"/>
      <c r="D838" s="288" t="s">
        <v>3895</v>
      </c>
      <c r="E838" s="288" t="s">
        <v>3860</v>
      </c>
      <c r="F838" s="289"/>
      <c r="G838" s="290">
        <v>45527</v>
      </c>
      <c r="H838" s="291">
        <v>9300</v>
      </c>
      <c r="I838" s="291">
        <v>9300</v>
      </c>
      <c r="J838" s="291">
        <v>-9300</v>
      </c>
      <c r="K838" s="289" t="s">
        <v>1731</v>
      </c>
      <c r="L838" s="288" t="s">
        <v>1773</v>
      </c>
      <c r="M838" s="288" t="s">
        <v>1774</v>
      </c>
      <c r="N838" s="288" t="s">
        <v>1734</v>
      </c>
      <c r="O838" s="289" t="s">
        <v>1791</v>
      </c>
      <c r="P838" s="292"/>
    </row>
    <row r="839" spans="1:16" hidden="1" x14ac:dyDescent="0.25">
      <c r="A839" s="287" t="s">
        <v>3896</v>
      </c>
      <c r="B839" s="311" t="s">
        <v>3897</v>
      </c>
      <c r="C839" s="305"/>
      <c r="D839" s="288" t="s">
        <v>3898</v>
      </c>
      <c r="E839" s="288" t="s">
        <v>3899</v>
      </c>
      <c r="F839" s="289"/>
      <c r="G839" s="290">
        <v>45477</v>
      </c>
      <c r="H839" s="291">
        <v>20000</v>
      </c>
      <c r="I839" s="291">
        <v>20000</v>
      </c>
      <c r="J839" s="291">
        <v>-20000</v>
      </c>
      <c r="K839" s="289" t="s">
        <v>1731</v>
      </c>
      <c r="L839" s="288" t="s">
        <v>2164</v>
      </c>
      <c r="M839" s="288" t="s">
        <v>2165</v>
      </c>
      <c r="N839" s="288" t="s">
        <v>1734</v>
      </c>
      <c r="O839" s="289" t="s">
        <v>1791</v>
      </c>
      <c r="P839" s="292"/>
    </row>
    <row r="840" spans="1:16" hidden="1" x14ac:dyDescent="0.25">
      <c r="A840" s="287" t="s">
        <v>3900</v>
      </c>
      <c r="B840" s="311" t="s">
        <v>3901</v>
      </c>
      <c r="C840" s="305"/>
      <c r="D840" s="288" t="s">
        <v>3902</v>
      </c>
      <c r="E840" s="288" t="s">
        <v>3903</v>
      </c>
      <c r="F840" s="289">
        <v>5000004570</v>
      </c>
      <c r="G840" s="290">
        <v>45572</v>
      </c>
      <c r="H840" s="291">
        <v>55900</v>
      </c>
      <c r="I840" s="291">
        <v>55900</v>
      </c>
      <c r="J840" s="291">
        <v>-55900</v>
      </c>
      <c r="K840" s="289" t="s">
        <v>1731</v>
      </c>
      <c r="L840" s="288" t="s">
        <v>1773</v>
      </c>
      <c r="M840" s="288" t="s">
        <v>1774</v>
      </c>
      <c r="N840" s="288" t="s">
        <v>1734</v>
      </c>
      <c r="O840" s="289"/>
      <c r="P840" s="292"/>
    </row>
    <row r="841" spans="1:16" hidden="1" x14ac:dyDescent="0.25">
      <c r="A841" s="287" t="s">
        <v>3900</v>
      </c>
      <c r="B841" s="311" t="s">
        <v>3901</v>
      </c>
      <c r="C841" s="305"/>
      <c r="D841" s="288" t="s">
        <v>3902</v>
      </c>
      <c r="E841" s="288" t="s">
        <v>3904</v>
      </c>
      <c r="F841" s="289"/>
      <c r="G841" s="290">
        <v>45489</v>
      </c>
      <c r="H841" s="291">
        <v>18500</v>
      </c>
      <c r="I841" s="291">
        <v>18500</v>
      </c>
      <c r="J841" s="291">
        <v>-18500</v>
      </c>
      <c r="K841" s="289" t="s">
        <v>1731</v>
      </c>
      <c r="L841" s="288" t="s">
        <v>1773</v>
      </c>
      <c r="M841" s="288" t="s">
        <v>1774</v>
      </c>
      <c r="N841" s="288" t="s">
        <v>1734</v>
      </c>
      <c r="O841" s="289" t="s">
        <v>1791</v>
      </c>
      <c r="P841" s="292"/>
    </row>
    <row r="842" spans="1:16" hidden="1" x14ac:dyDescent="0.25">
      <c r="A842" s="287" t="s">
        <v>3905</v>
      </c>
      <c r="B842" s="311" t="s">
        <v>3906</v>
      </c>
      <c r="C842" s="305"/>
      <c r="D842" s="288" t="s">
        <v>3907</v>
      </c>
      <c r="E842" s="288" t="s">
        <v>3908</v>
      </c>
      <c r="F842" s="289">
        <v>8000726382</v>
      </c>
      <c r="G842" s="290">
        <v>45510</v>
      </c>
      <c r="H842" s="291">
        <v>15000</v>
      </c>
      <c r="I842" s="291">
        <v>15000</v>
      </c>
      <c r="J842" s="291">
        <v>-15000</v>
      </c>
      <c r="K842" s="289" t="s">
        <v>1731</v>
      </c>
      <c r="L842" s="288" t="s">
        <v>1742</v>
      </c>
      <c r="M842" s="288" t="s">
        <v>1743</v>
      </c>
      <c r="N842" s="288" t="s">
        <v>1734</v>
      </c>
      <c r="O842" s="289" t="s">
        <v>3056</v>
      </c>
      <c r="P842" s="292"/>
    </row>
    <row r="843" spans="1:16" hidden="1" x14ac:dyDescent="0.25">
      <c r="A843" s="287" t="s">
        <v>3909</v>
      </c>
      <c r="B843" s="311" t="s">
        <v>3910</v>
      </c>
      <c r="C843" s="305"/>
      <c r="D843" s="288" t="s">
        <v>3911</v>
      </c>
      <c r="E843" s="288" t="s">
        <v>3912</v>
      </c>
      <c r="F843" s="289"/>
      <c r="G843" s="290">
        <v>45561</v>
      </c>
      <c r="H843" s="291">
        <v>7872</v>
      </c>
      <c r="I843" s="291">
        <v>7872</v>
      </c>
      <c r="J843" s="291">
        <v>0</v>
      </c>
      <c r="K843" s="289" t="s">
        <v>1731</v>
      </c>
      <c r="L843" s="288" t="s">
        <v>2164</v>
      </c>
      <c r="M843" s="288" t="s">
        <v>2165</v>
      </c>
      <c r="N843" s="288" t="s">
        <v>1734</v>
      </c>
      <c r="O843" s="289" t="s">
        <v>1791</v>
      </c>
      <c r="P843" s="292"/>
    </row>
    <row r="844" spans="1:16" hidden="1" x14ac:dyDescent="0.25">
      <c r="A844" s="287" t="s">
        <v>3913</v>
      </c>
      <c r="B844" s="311" t="s">
        <v>3914</v>
      </c>
      <c r="C844" s="305"/>
      <c r="D844" s="288" t="s">
        <v>3915</v>
      </c>
      <c r="E844" s="288" t="s">
        <v>3916</v>
      </c>
      <c r="F844" s="289"/>
      <c r="G844" s="290">
        <v>45509</v>
      </c>
      <c r="H844" s="291">
        <v>40000</v>
      </c>
      <c r="I844" s="291">
        <v>40000</v>
      </c>
      <c r="J844" s="291">
        <v>-40000</v>
      </c>
      <c r="K844" s="289" t="s">
        <v>1731</v>
      </c>
      <c r="L844" s="288" t="s">
        <v>1742</v>
      </c>
      <c r="M844" s="288" t="s">
        <v>1743</v>
      </c>
      <c r="N844" s="288" t="s">
        <v>1734</v>
      </c>
      <c r="O844" s="289" t="s">
        <v>1791</v>
      </c>
      <c r="P844" s="292"/>
    </row>
    <row r="845" spans="1:16" hidden="1" x14ac:dyDescent="0.25">
      <c r="A845" s="287" t="s">
        <v>3917</v>
      </c>
      <c r="B845" s="311" t="s">
        <v>3918</v>
      </c>
      <c r="C845" s="305"/>
      <c r="D845" s="288" t="s">
        <v>3919</v>
      </c>
      <c r="E845" s="288" t="s">
        <v>1741</v>
      </c>
      <c r="F845" s="289"/>
      <c r="G845" s="290">
        <v>45574</v>
      </c>
      <c r="H845" s="291">
        <v>26868.5</v>
      </c>
      <c r="I845" s="291">
        <v>26868.5</v>
      </c>
      <c r="J845" s="291">
        <v>0</v>
      </c>
      <c r="K845" s="289" t="s">
        <v>1731</v>
      </c>
      <c r="L845" s="288" t="s">
        <v>1773</v>
      </c>
      <c r="M845" s="288" t="s">
        <v>1774</v>
      </c>
      <c r="N845" s="288" t="s">
        <v>1734</v>
      </c>
      <c r="O845" s="289" t="s">
        <v>1791</v>
      </c>
      <c r="P845" s="292"/>
    </row>
    <row r="846" spans="1:16" hidden="1" x14ac:dyDescent="0.25">
      <c r="A846" s="287" t="s">
        <v>3920</v>
      </c>
      <c r="B846" s="311" t="s">
        <v>3921</v>
      </c>
      <c r="C846" s="305"/>
      <c r="D846" s="288" t="s">
        <v>3922</v>
      </c>
      <c r="E846" s="288" t="s">
        <v>1741</v>
      </c>
      <c r="F846" s="289"/>
      <c r="G846" s="290">
        <v>45574</v>
      </c>
      <c r="H846" s="291">
        <v>159851.75</v>
      </c>
      <c r="I846" s="291">
        <v>159851.75</v>
      </c>
      <c r="J846" s="291">
        <v>-3890.95</v>
      </c>
      <c r="K846" s="289" t="s">
        <v>1731</v>
      </c>
      <c r="L846" s="288" t="s">
        <v>1732</v>
      </c>
      <c r="M846" s="288" t="s">
        <v>1733</v>
      </c>
      <c r="N846" s="288" t="s">
        <v>1734</v>
      </c>
      <c r="O846" s="289" t="s">
        <v>1791</v>
      </c>
      <c r="P846" s="292"/>
    </row>
    <row r="847" spans="1:16" hidden="1" x14ac:dyDescent="0.25">
      <c r="A847" s="287" t="s">
        <v>3923</v>
      </c>
      <c r="B847" s="311" t="s">
        <v>3924</v>
      </c>
      <c r="C847" s="305"/>
      <c r="D847" s="288" t="s">
        <v>3925</v>
      </c>
      <c r="E847" s="288" t="s">
        <v>3926</v>
      </c>
      <c r="F847" s="289"/>
      <c r="G847" s="290">
        <v>45520</v>
      </c>
      <c r="H847" s="291">
        <v>74500</v>
      </c>
      <c r="I847" s="291">
        <v>74500</v>
      </c>
      <c r="J847" s="291">
        <v>-74500</v>
      </c>
      <c r="K847" s="289" t="s">
        <v>1731</v>
      </c>
      <c r="L847" s="288" t="s">
        <v>1773</v>
      </c>
      <c r="M847" s="288" t="s">
        <v>1774</v>
      </c>
      <c r="N847" s="288" t="s">
        <v>1734</v>
      </c>
      <c r="O847" s="289" t="s">
        <v>1791</v>
      </c>
      <c r="P847" s="292"/>
    </row>
    <row r="848" spans="1:16" hidden="1" x14ac:dyDescent="0.25">
      <c r="A848" s="287" t="s">
        <v>3927</v>
      </c>
      <c r="B848" s="311" t="s">
        <v>3928</v>
      </c>
      <c r="C848" s="305"/>
      <c r="D848" s="288" t="s">
        <v>3929</v>
      </c>
      <c r="E848" s="288" t="s">
        <v>1741</v>
      </c>
      <c r="F848" s="289"/>
      <c r="G848" s="290">
        <v>45559</v>
      </c>
      <c r="H848" s="291">
        <v>1080</v>
      </c>
      <c r="I848" s="291">
        <v>1080</v>
      </c>
      <c r="J848" s="291">
        <v>-1080</v>
      </c>
      <c r="K848" s="289" t="s">
        <v>1731</v>
      </c>
      <c r="L848" s="288" t="s">
        <v>1732</v>
      </c>
      <c r="M848" s="288" t="s">
        <v>1733</v>
      </c>
      <c r="N848" s="288" t="s">
        <v>1734</v>
      </c>
      <c r="O848" s="289" t="s">
        <v>1791</v>
      </c>
      <c r="P848" s="292"/>
    </row>
    <row r="849" spans="1:16" hidden="1" x14ac:dyDescent="0.25">
      <c r="A849" s="287" t="s">
        <v>3930</v>
      </c>
      <c r="B849" s="311" t="s">
        <v>3931</v>
      </c>
      <c r="C849" s="305"/>
      <c r="D849" s="288" t="s">
        <v>3932</v>
      </c>
      <c r="E849" s="288" t="s">
        <v>1741</v>
      </c>
      <c r="F849" s="289"/>
      <c r="G849" s="290">
        <v>45505</v>
      </c>
      <c r="H849" s="291">
        <v>45564.56</v>
      </c>
      <c r="I849" s="291">
        <v>45564.56</v>
      </c>
      <c r="J849" s="291">
        <v>0</v>
      </c>
      <c r="K849" s="289" t="s">
        <v>1731</v>
      </c>
      <c r="L849" s="288" t="s">
        <v>1732</v>
      </c>
      <c r="M849" s="288" t="s">
        <v>1733</v>
      </c>
      <c r="N849" s="288" t="s">
        <v>1734</v>
      </c>
      <c r="O849" s="289" t="s">
        <v>1791</v>
      </c>
      <c r="P849" s="292"/>
    </row>
    <row r="850" spans="1:16" hidden="1" x14ac:dyDescent="0.25">
      <c r="A850" s="287" t="s">
        <v>3930</v>
      </c>
      <c r="B850" s="311" t="s">
        <v>3931</v>
      </c>
      <c r="C850" s="305"/>
      <c r="D850" s="288" t="s">
        <v>3932</v>
      </c>
      <c r="E850" s="288" t="s">
        <v>3933</v>
      </c>
      <c r="F850" s="289">
        <v>8000725694</v>
      </c>
      <c r="G850" s="290">
        <v>45925</v>
      </c>
      <c r="H850" s="291">
        <v>18045</v>
      </c>
      <c r="I850" s="291">
        <v>18045</v>
      </c>
      <c r="J850" s="291">
        <v>0</v>
      </c>
      <c r="K850" s="289" t="s">
        <v>1731</v>
      </c>
      <c r="L850" s="288" t="s">
        <v>1773</v>
      </c>
      <c r="M850" s="288" t="s">
        <v>1774</v>
      </c>
      <c r="N850" s="288" t="s">
        <v>1734</v>
      </c>
      <c r="O850" s="289" t="s">
        <v>2129</v>
      </c>
      <c r="P850" s="292"/>
    </row>
    <row r="851" spans="1:16" hidden="1" x14ac:dyDescent="0.25">
      <c r="A851" s="287" t="s">
        <v>3934</v>
      </c>
      <c r="B851" s="311" t="s">
        <v>3935</v>
      </c>
      <c r="C851" s="305"/>
      <c r="D851" s="288" t="s">
        <v>3936</v>
      </c>
      <c r="E851" s="288" t="s">
        <v>1741</v>
      </c>
      <c r="F851" s="289"/>
      <c r="G851" s="290">
        <v>45525</v>
      </c>
      <c r="H851" s="291">
        <v>60000</v>
      </c>
      <c r="I851" s="291">
        <v>60000</v>
      </c>
      <c r="J851" s="291">
        <v>-60000</v>
      </c>
      <c r="K851" s="289" t="s">
        <v>1731</v>
      </c>
      <c r="L851" s="288" t="s">
        <v>1732</v>
      </c>
      <c r="M851" s="288" t="s">
        <v>1733</v>
      </c>
      <c r="N851" s="288" t="s">
        <v>1734</v>
      </c>
      <c r="O851" s="289" t="s">
        <v>1791</v>
      </c>
      <c r="P851" s="292"/>
    </row>
    <row r="852" spans="1:16" hidden="1" x14ac:dyDescent="0.25">
      <c r="A852" s="287" t="s">
        <v>3937</v>
      </c>
      <c r="B852" s="311" t="s">
        <v>3938</v>
      </c>
      <c r="C852" s="305"/>
      <c r="D852" s="288" t="s">
        <v>3939</v>
      </c>
      <c r="E852" s="288" t="s">
        <v>1741</v>
      </c>
      <c r="F852" s="289"/>
      <c r="G852" s="290">
        <v>45526</v>
      </c>
      <c r="H852" s="291">
        <v>490</v>
      </c>
      <c r="I852" s="291">
        <v>490</v>
      </c>
      <c r="J852" s="291">
        <v>-490</v>
      </c>
      <c r="K852" s="289" t="s">
        <v>1731</v>
      </c>
      <c r="L852" s="288" t="s">
        <v>1732</v>
      </c>
      <c r="M852" s="288" t="s">
        <v>1733</v>
      </c>
      <c r="N852" s="288" t="s">
        <v>1734</v>
      </c>
      <c r="O852" s="289" t="s">
        <v>1791</v>
      </c>
      <c r="P852" s="292"/>
    </row>
    <row r="853" spans="1:16" hidden="1" x14ac:dyDescent="0.25">
      <c r="A853" s="287" t="s">
        <v>3940</v>
      </c>
      <c r="B853" s="311" t="s">
        <v>3941</v>
      </c>
      <c r="C853" s="305"/>
      <c r="D853" s="288" t="s">
        <v>3942</v>
      </c>
      <c r="E853" s="288" t="s">
        <v>1741</v>
      </c>
      <c r="F853" s="289"/>
      <c r="G853" s="290">
        <v>45530</v>
      </c>
      <c r="H853" s="291">
        <v>10600</v>
      </c>
      <c r="I853" s="291">
        <v>10600</v>
      </c>
      <c r="J853" s="291">
        <v>-10600</v>
      </c>
      <c r="K853" s="289" t="s">
        <v>1731</v>
      </c>
      <c r="L853" s="288" t="s">
        <v>1732</v>
      </c>
      <c r="M853" s="288" t="s">
        <v>1733</v>
      </c>
      <c r="N853" s="288" t="s">
        <v>1734</v>
      </c>
      <c r="O853" s="289" t="s">
        <v>1791</v>
      </c>
      <c r="P853" s="292"/>
    </row>
    <row r="854" spans="1:16" hidden="1" x14ac:dyDescent="0.25">
      <c r="A854" s="287" t="s">
        <v>3943</v>
      </c>
      <c r="B854" s="311" t="s">
        <v>3944</v>
      </c>
      <c r="C854" s="305"/>
      <c r="D854" s="288" t="s">
        <v>3945</v>
      </c>
      <c r="E854" s="288" t="s">
        <v>1741</v>
      </c>
      <c r="F854" s="289"/>
      <c r="G854" s="290">
        <v>45509</v>
      </c>
      <c r="H854" s="291">
        <v>6587.99</v>
      </c>
      <c r="I854" s="291">
        <v>6587.99</v>
      </c>
      <c r="J854" s="291">
        <v>-308.45999999999998</v>
      </c>
      <c r="K854" s="289" t="s">
        <v>1731</v>
      </c>
      <c r="L854" s="288" t="s">
        <v>1732</v>
      </c>
      <c r="M854" s="288" t="s">
        <v>1733</v>
      </c>
      <c r="N854" s="288" t="s">
        <v>1734</v>
      </c>
      <c r="O854" s="289" t="s">
        <v>1791</v>
      </c>
      <c r="P854" s="292"/>
    </row>
    <row r="855" spans="1:16" hidden="1" x14ac:dyDescent="0.25">
      <c r="A855" s="287" t="s">
        <v>3946</v>
      </c>
      <c r="B855" s="311" t="s">
        <v>3947</v>
      </c>
      <c r="C855" s="305"/>
      <c r="D855" s="288" t="s">
        <v>3948</v>
      </c>
      <c r="E855" s="288" t="s">
        <v>3949</v>
      </c>
      <c r="F855" s="289"/>
      <c r="G855" s="290">
        <v>45558</v>
      </c>
      <c r="H855" s="291">
        <v>21000</v>
      </c>
      <c r="I855" s="291">
        <v>21000</v>
      </c>
      <c r="J855" s="291">
        <v>-21000</v>
      </c>
      <c r="K855" s="289" t="s">
        <v>1731</v>
      </c>
      <c r="L855" s="288" t="s">
        <v>1773</v>
      </c>
      <c r="M855" s="288" t="s">
        <v>1774</v>
      </c>
      <c r="N855" s="288" t="s">
        <v>1734</v>
      </c>
      <c r="O855" s="289" t="s">
        <v>1791</v>
      </c>
      <c r="P855" s="292"/>
    </row>
    <row r="856" spans="1:16" hidden="1" x14ac:dyDescent="0.25">
      <c r="A856" s="287" t="s">
        <v>3950</v>
      </c>
      <c r="B856" s="311" t="s">
        <v>3951</v>
      </c>
      <c r="C856" s="305"/>
      <c r="D856" s="288" t="s">
        <v>3952</v>
      </c>
      <c r="E856" s="288" t="s">
        <v>3953</v>
      </c>
      <c r="F856" s="289"/>
      <c r="G856" s="290">
        <v>45558</v>
      </c>
      <c r="H856" s="291">
        <v>40000</v>
      </c>
      <c r="I856" s="291">
        <v>40000</v>
      </c>
      <c r="J856" s="291">
        <v>-40000</v>
      </c>
      <c r="K856" s="289" t="s">
        <v>1731</v>
      </c>
      <c r="L856" s="288" t="s">
        <v>1742</v>
      </c>
      <c r="M856" s="288" t="s">
        <v>1743</v>
      </c>
      <c r="N856" s="288" t="s">
        <v>1734</v>
      </c>
      <c r="O856" s="289" t="s">
        <v>1791</v>
      </c>
      <c r="P856" s="292"/>
    </row>
    <row r="857" spans="1:16" hidden="1" x14ac:dyDescent="0.25">
      <c r="A857" s="287" t="s">
        <v>3954</v>
      </c>
      <c r="B857" s="311" t="s">
        <v>3955</v>
      </c>
      <c r="C857" s="305"/>
      <c r="D857" s="288" t="s">
        <v>3956</v>
      </c>
      <c r="E857" s="288" t="s">
        <v>1741</v>
      </c>
      <c r="F857" s="289"/>
      <c r="G857" s="290">
        <v>45560</v>
      </c>
      <c r="H857" s="291">
        <v>3515</v>
      </c>
      <c r="I857" s="291">
        <v>3515</v>
      </c>
      <c r="J857" s="291">
        <v>-3515</v>
      </c>
      <c r="K857" s="289" t="s">
        <v>1731</v>
      </c>
      <c r="L857" s="288" t="s">
        <v>1732</v>
      </c>
      <c r="M857" s="288" t="s">
        <v>1733</v>
      </c>
      <c r="N857" s="288" t="s">
        <v>1734</v>
      </c>
      <c r="O857" s="289" t="s">
        <v>1791</v>
      </c>
      <c r="P857" s="292"/>
    </row>
    <row r="858" spans="1:16" hidden="1" x14ac:dyDescent="0.25">
      <c r="A858" s="287" t="s">
        <v>3957</v>
      </c>
      <c r="B858" s="311" t="s">
        <v>3958</v>
      </c>
      <c r="C858" s="305"/>
      <c r="D858" s="288" t="s">
        <v>3959</v>
      </c>
      <c r="E858" s="288" t="s">
        <v>3960</v>
      </c>
      <c r="F858" s="289"/>
      <c r="G858" s="290">
        <v>45561</v>
      </c>
      <c r="H858" s="291">
        <v>10000</v>
      </c>
      <c r="I858" s="291">
        <v>10000</v>
      </c>
      <c r="J858" s="291">
        <v>-10000</v>
      </c>
      <c r="K858" s="289" t="s">
        <v>1731</v>
      </c>
      <c r="L858" s="288" t="s">
        <v>1773</v>
      </c>
      <c r="M858" s="288" t="s">
        <v>1774</v>
      </c>
      <c r="N858" s="288" t="s">
        <v>1734</v>
      </c>
      <c r="O858" s="289" t="s">
        <v>1791</v>
      </c>
      <c r="P858" s="292"/>
    </row>
    <row r="859" spans="1:16" hidden="1" x14ac:dyDescent="0.25">
      <c r="A859" s="287" t="s">
        <v>3961</v>
      </c>
      <c r="B859" s="311" t="s">
        <v>3962</v>
      </c>
      <c r="C859" s="305"/>
      <c r="D859" s="288" t="s">
        <v>3963</v>
      </c>
      <c r="E859" s="288" t="s">
        <v>3964</v>
      </c>
      <c r="F859" s="289"/>
      <c r="G859" s="290">
        <v>45523</v>
      </c>
      <c r="H859" s="291">
        <v>30000</v>
      </c>
      <c r="I859" s="291">
        <v>30000</v>
      </c>
      <c r="J859" s="291">
        <v>-30000</v>
      </c>
      <c r="K859" s="289" t="s">
        <v>1731</v>
      </c>
      <c r="L859" s="288" t="s">
        <v>1773</v>
      </c>
      <c r="M859" s="288" t="s">
        <v>1774</v>
      </c>
      <c r="N859" s="288" t="s">
        <v>1734</v>
      </c>
      <c r="O859" s="289" t="s">
        <v>1791</v>
      </c>
      <c r="P859" s="292"/>
    </row>
    <row r="860" spans="1:16" hidden="1" x14ac:dyDescent="0.25">
      <c r="A860" s="287" t="s">
        <v>3965</v>
      </c>
      <c r="B860" s="311" t="s">
        <v>3966</v>
      </c>
      <c r="C860" s="305"/>
      <c r="D860" s="288" t="s">
        <v>3967</v>
      </c>
      <c r="E860" s="288" t="s">
        <v>3968</v>
      </c>
      <c r="F860" s="289"/>
      <c r="G860" s="290">
        <v>45525</v>
      </c>
      <c r="H860" s="291">
        <v>325184</v>
      </c>
      <c r="I860" s="291">
        <v>325184</v>
      </c>
      <c r="J860" s="291">
        <v>0</v>
      </c>
      <c r="K860" s="289" t="s">
        <v>1731</v>
      </c>
      <c r="L860" s="288" t="s">
        <v>1732</v>
      </c>
      <c r="M860" s="288" t="s">
        <v>1733</v>
      </c>
      <c r="N860" s="288" t="s">
        <v>1734</v>
      </c>
      <c r="O860" s="289" t="s">
        <v>1791</v>
      </c>
      <c r="P860" s="292"/>
    </row>
    <row r="861" spans="1:16" hidden="1" x14ac:dyDescent="0.25">
      <c r="A861" s="287" t="s">
        <v>3969</v>
      </c>
      <c r="B861" s="311" t="s">
        <v>3970</v>
      </c>
      <c r="C861" s="305"/>
      <c r="D861" s="288" t="s">
        <v>3971</v>
      </c>
      <c r="E861" s="288" t="s">
        <v>1741</v>
      </c>
      <c r="F861" s="289"/>
      <c r="G861" s="290">
        <v>45512</v>
      </c>
      <c r="H861" s="291">
        <v>116130</v>
      </c>
      <c r="I861" s="291">
        <v>116130</v>
      </c>
      <c r="J861" s="291">
        <v>-116130</v>
      </c>
      <c r="K861" s="289" t="s">
        <v>1731</v>
      </c>
      <c r="L861" s="288" t="s">
        <v>1773</v>
      </c>
      <c r="M861" s="288" t="s">
        <v>1774</v>
      </c>
      <c r="N861" s="288" t="s">
        <v>1734</v>
      </c>
      <c r="O861" s="289" t="s">
        <v>1791</v>
      </c>
      <c r="P861" s="292"/>
    </row>
    <row r="862" spans="1:16" hidden="1" x14ac:dyDescent="0.25">
      <c r="A862" s="287" t="s">
        <v>3972</v>
      </c>
      <c r="B862" s="311" t="s">
        <v>3973</v>
      </c>
      <c r="C862" s="305"/>
      <c r="D862" s="288" t="s">
        <v>3974</v>
      </c>
      <c r="E862" s="288" t="s">
        <v>1741</v>
      </c>
      <c r="F862" s="289"/>
      <c r="G862" s="290">
        <v>45540</v>
      </c>
      <c r="H862" s="291">
        <v>6000</v>
      </c>
      <c r="I862" s="291">
        <v>6000</v>
      </c>
      <c r="J862" s="291">
        <v>-6000</v>
      </c>
      <c r="K862" s="289" t="s">
        <v>1731</v>
      </c>
      <c r="L862" s="288" t="s">
        <v>1773</v>
      </c>
      <c r="M862" s="288" t="s">
        <v>1774</v>
      </c>
      <c r="N862" s="288" t="s">
        <v>1734</v>
      </c>
      <c r="O862" s="289" t="s">
        <v>1791</v>
      </c>
      <c r="P862" s="292"/>
    </row>
    <row r="863" spans="1:16" hidden="1" x14ac:dyDescent="0.25">
      <c r="A863" s="287" t="s">
        <v>3975</v>
      </c>
      <c r="B863" s="311" t="s">
        <v>3976</v>
      </c>
      <c r="C863" s="305"/>
      <c r="D863" s="288" t="s">
        <v>3977</v>
      </c>
      <c r="E863" s="288" t="s">
        <v>3978</v>
      </c>
      <c r="F863" s="289"/>
      <c r="G863" s="290">
        <v>45531</v>
      </c>
      <c r="H863" s="291">
        <v>17500</v>
      </c>
      <c r="I863" s="291">
        <v>17500</v>
      </c>
      <c r="J863" s="291">
        <v>-17500</v>
      </c>
      <c r="K863" s="289" t="s">
        <v>1731</v>
      </c>
      <c r="L863" s="288" t="s">
        <v>1773</v>
      </c>
      <c r="M863" s="288" t="s">
        <v>1774</v>
      </c>
      <c r="N863" s="288" t="s">
        <v>1734</v>
      </c>
      <c r="O863" s="289" t="s">
        <v>1791</v>
      </c>
      <c r="P863" s="292"/>
    </row>
    <row r="864" spans="1:16" hidden="1" x14ac:dyDescent="0.25">
      <c r="A864" s="287" t="s">
        <v>3979</v>
      </c>
      <c r="B864" s="311" t="s">
        <v>3980</v>
      </c>
      <c r="C864" s="305"/>
      <c r="D864" s="288" t="s">
        <v>3981</v>
      </c>
      <c r="E864" s="288" t="s">
        <v>3982</v>
      </c>
      <c r="F864" s="289">
        <v>8000726209</v>
      </c>
      <c r="G864" s="290">
        <v>46079</v>
      </c>
      <c r="H864" s="291">
        <v>171767</v>
      </c>
      <c r="I864" s="291">
        <v>171767</v>
      </c>
      <c r="J864" s="291">
        <v>0</v>
      </c>
      <c r="K864" s="289" t="s">
        <v>1731</v>
      </c>
      <c r="L864" s="288" t="s">
        <v>2164</v>
      </c>
      <c r="M864" s="288" t="s">
        <v>2165</v>
      </c>
      <c r="N864" s="288" t="s">
        <v>1734</v>
      </c>
      <c r="O864" s="289" t="s">
        <v>1972</v>
      </c>
      <c r="P864" s="292"/>
    </row>
    <row r="865" spans="1:16" hidden="1" x14ac:dyDescent="0.25">
      <c r="A865" s="287" t="s">
        <v>3983</v>
      </c>
      <c r="B865" s="311" t="s">
        <v>3984</v>
      </c>
      <c r="C865" s="305"/>
      <c r="D865" s="288" t="s">
        <v>3985</v>
      </c>
      <c r="E865" s="288" t="s">
        <v>3986</v>
      </c>
      <c r="F865" s="289"/>
      <c r="G865" s="290">
        <v>45551</v>
      </c>
      <c r="H865" s="291">
        <v>40000</v>
      </c>
      <c r="I865" s="291">
        <v>40000</v>
      </c>
      <c r="J865" s="291">
        <v>-40000</v>
      </c>
      <c r="K865" s="289" t="s">
        <v>1731</v>
      </c>
      <c r="L865" s="288" t="s">
        <v>2164</v>
      </c>
      <c r="M865" s="288" t="s">
        <v>2165</v>
      </c>
      <c r="N865" s="288" t="s">
        <v>1734</v>
      </c>
      <c r="O865" s="289" t="s">
        <v>1791</v>
      </c>
      <c r="P865" s="292"/>
    </row>
    <row r="866" spans="1:16" hidden="1" x14ac:dyDescent="0.25">
      <c r="A866" s="287" t="s">
        <v>3987</v>
      </c>
      <c r="B866" s="311" t="s">
        <v>3988</v>
      </c>
      <c r="C866" s="305"/>
      <c r="D866" s="288" t="s">
        <v>3989</v>
      </c>
      <c r="E866" s="288" t="s">
        <v>3990</v>
      </c>
      <c r="F866" s="289"/>
      <c r="G866" s="290">
        <v>45572</v>
      </c>
      <c r="H866" s="291">
        <v>7839.2</v>
      </c>
      <c r="I866" s="291">
        <v>7839.2</v>
      </c>
      <c r="J866" s="291">
        <v>0</v>
      </c>
      <c r="K866" s="289" t="s">
        <v>1731</v>
      </c>
      <c r="L866" s="288" t="s">
        <v>2164</v>
      </c>
      <c r="M866" s="288" t="s">
        <v>2165</v>
      </c>
      <c r="N866" s="288" t="s">
        <v>1734</v>
      </c>
      <c r="O866" s="289" t="s">
        <v>1791</v>
      </c>
      <c r="P866" s="292"/>
    </row>
    <row r="867" spans="1:16" hidden="1" x14ac:dyDescent="0.25">
      <c r="A867" s="287" t="s">
        <v>3991</v>
      </c>
      <c r="B867" s="311" t="s">
        <v>3992</v>
      </c>
      <c r="C867" s="305"/>
      <c r="D867" s="288" t="s">
        <v>3993</v>
      </c>
      <c r="E867" s="288" t="s">
        <v>3994</v>
      </c>
      <c r="F867" s="289"/>
      <c r="G867" s="290">
        <v>45561</v>
      </c>
      <c r="H867" s="291">
        <v>20000</v>
      </c>
      <c r="I867" s="291">
        <v>20000</v>
      </c>
      <c r="J867" s="291">
        <v>-20000</v>
      </c>
      <c r="K867" s="289" t="s">
        <v>1731</v>
      </c>
      <c r="L867" s="288" t="s">
        <v>1742</v>
      </c>
      <c r="M867" s="288" t="s">
        <v>1743</v>
      </c>
      <c r="N867" s="288" t="s">
        <v>1734</v>
      </c>
      <c r="O867" s="289" t="s">
        <v>1791</v>
      </c>
      <c r="P867" s="292"/>
    </row>
    <row r="868" spans="1:16" hidden="1" x14ac:dyDescent="0.25">
      <c r="A868" s="287" t="s">
        <v>3995</v>
      </c>
      <c r="B868" s="311" t="s">
        <v>3996</v>
      </c>
      <c r="C868" s="305"/>
      <c r="D868" s="288" t="s">
        <v>3997</v>
      </c>
      <c r="E868" s="288" t="s">
        <v>3998</v>
      </c>
      <c r="F868" s="289"/>
      <c r="G868" s="290">
        <v>45572</v>
      </c>
      <c r="H868" s="291">
        <v>55000</v>
      </c>
      <c r="I868" s="291">
        <v>55000</v>
      </c>
      <c r="J868" s="291">
        <v>-55000</v>
      </c>
      <c r="K868" s="289" t="s">
        <v>1731</v>
      </c>
      <c r="L868" s="288" t="s">
        <v>2164</v>
      </c>
      <c r="M868" s="288" t="s">
        <v>2165</v>
      </c>
      <c r="N868" s="288" t="s">
        <v>1734</v>
      </c>
      <c r="O868" s="289" t="s">
        <v>1791</v>
      </c>
      <c r="P868" s="292"/>
    </row>
    <row r="869" spans="1:16" hidden="1" x14ac:dyDescent="0.25">
      <c r="A869" s="287" t="s">
        <v>3999</v>
      </c>
      <c r="B869" s="311" t="s">
        <v>4000</v>
      </c>
      <c r="C869" s="305"/>
      <c r="D869" s="288" t="s">
        <v>4001</v>
      </c>
      <c r="E869" s="288" t="s">
        <v>4002</v>
      </c>
      <c r="F869" s="289"/>
      <c r="G869" s="290">
        <v>45558</v>
      </c>
      <c r="H869" s="291">
        <v>35000</v>
      </c>
      <c r="I869" s="291">
        <v>35000</v>
      </c>
      <c r="J869" s="291">
        <v>-35000</v>
      </c>
      <c r="K869" s="289" t="s">
        <v>1731</v>
      </c>
      <c r="L869" s="288" t="s">
        <v>1742</v>
      </c>
      <c r="M869" s="288" t="s">
        <v>1743</v>
      </c>
      <c r="N869" s="288" t="s">
        <v>1734</v>
      </c>
      <c r="O869" s="289" t="s">
        <v>1791</v>
      </c>
      <c r="P869" s="292"/>
    </row>
    <row r="870" spans="1:16" hidden="1" x14ac:dyDescent="0.25">
      <c r="A870" s="287" t="s">
        <v>4003</v>
      </c>
      <c r="B870" s="311" t="s">
        <v>4004</v>
      </c>
      <c r="C870" s="305"/>
      <c r="D870" s="288" t="s">
        <v>4005</v>
      </c>
      <c r="E870" s="288"/>
      <c r="F870" s="289"/>
      <c r="G870" s="290">
        <v>45551</v>
      </c>
      <c r="H870" s="291">
        <v>15500</v>
      </c>
      <c r="I870" s="291">
        <v>15500</v>
      </c>
      <c r="J870" s="291">
        <v>-15500</v>
      </c>
      <c r="K870" s="289" t="s">
        <v>1731</v>
      </c>
      <c r="L870" s="288" t="s">
        <v>1773</v>
      </c>
      <c r="M870" s="288" t="s">
        <v>1774</v>
      </c>
      <c r="N870" s="288" t="s">
        <v>1734</v>
      </c>
      <c r="O870" s="289" t="s">
        <v>1791</v>
      </c>
      <c r="P870" s="292"/>
    </row>
    <row r="871" spans="1:16" hidden="1" x14ac:dyDescent="0.25">
      <c r="A871" s="287" t="s">
        <v>4006</v>
      </c>
      <c r="B871" s="311" t="s">
        <v>4007</v>
      </c>
      <c r="C871" s="305"/>
      <c r="D871" s="288" t="s">
        <v>4008</v>
      </c>
      <c r="E871" s="288" t="s">
        <v>4009</v>
      </c>
      <c r="F871" s="289">
        <v>8000726090</v>
      </c>
      <c r="G871" s="290">
        <v>45587</v>
      </c>
      <c r="H871" s="291">
        <v>384720</v>
      </c>
      <c r="I871" s="291">
        <v>384720</v>
      </c>
      <c r="J871" s="291">
        <v>-384720</v>
      </c>
      <c r="K871" s="289" t="s">
        <v>1731</v>
      </c>
      <c r="L871" s="288" t="s">
        <v>1773</v>
      </c>
      <c r="M871" s="288" t="s">
        <v>1774</v>
      </c>
      <c r="N871" s="288" t="s">
        <v>1734</v>
      </c>
      <c r="O871" s="289" t="s">
        <v>2653</v>
      </c>
      <c r="P871" s="292"/>
    </row>
    <row r="872" spans="1:16" hidden="1" x14ac:dyDescent="0.25">
      <c r="A872" s="287" t="s">
        <v>4010</v>
      </c>
      <c r="B872" s="311" t="s">
        <v>4011</v>
      </c>
      <c r="C872" s="305"/>
      <c r="D872" s="288" t="s">
        <v>4012</v>
      </c>
      <c r="E872" s="288" t="s">
        <v>1741</v>
      </c>
      <c r="F872" s="289"/>
      <c r="G872" s="290">
        <v>45572</v>
      </c>
      <c r="H872" s="291">
        <v>17000</v>
      </c>
      <c r="I872" s="291">
        <v>17000</v>
      </c>
      <c r="J872" s="291">
        <v>-17000</v>
      </c>
      <c r="K872" s="289" t="s">
        <v>1731</v>
      </c>
      <c r="L872" s="288" t="s">
        <v>1773</v>
      </c>
      <c r="M872" s="288" t="s">
        <v>1774</v>
      </c>
      <c r="N872" s="288" t="s">
        <v>1734</v>
      </c>
      <c r="O872" s="289" t="s">
        <v>1791</v>
      </c>
      <c r="P872" s="292"/>
    </row>
    <row r="873" spans="1:16" hidden="1" x14ac:dyDescent="0.25">
      <c r="A873" s="287" t="s">
        <v>4013</v>
      </c>
      <c r="B873" s="311" t="s">
        <v>4014</v>
      </c>
      <c r="C873" s="305"/>
      <c r="D873" s="288" t="s">
        <v>4015</v>
      </c>
      <c r="E873" s="288"/>
      <c r="F873" s="289">
        <v>8701329895</v>
      </c>
      <c r="G873" s="290">
        <v>45590</v>
      </c>
      <c r="H873" s="291">
        <v>190</v>
      </c>
      <c r="I873" s="291">
        <v>190</v>
      </c>
      <c r="J873" s="291">
        <v>-190</v>
      </c>
      <c r="K873" s="289" t="s">
        <v>1731</v>
      </c>
      <c r="L873" s="288" t="s">
        <v>1732</v>
      </c>
      <c r="M873" s="288" t="s">
        <v>1733</v>
      </c>
      <c r="N873" s="288" t="s">
        <v>1734</v>
      </c>
      <c r="O873" s="289" t="s">
        <v>2072</v>
      </c>
      <c r="P873" s="292"/>
    </row>
    <row r="874" spans="1:16" hidden="1" x14ac:dyDescent="0.25">
      <c r="A874" s="287" t="s">
        <v>4016</v>
      </c>
      <c r="B874" s="311" t="s">
        <v>4017</v>
      </c>
      <c r="C874" s="305"/>
      <c r="D874" s="288" t="s">
        <v>4018</v>
      </c>
      <c r="E874" s="288" t="s">
        <v>1741</v>
      </c>
      <c r="F874" s="289"/>
      <c r="G874" s="290">
        <v>45569</v>
      </c>
      <c r="H874" s="291">
        <v>20000</v>
      </c>
      <c r="I874" s="291">
        <v>20000</v>
      </c>
      <c r="J874" s="291">
        <v>-20000</v>
      </c>
      <c r="K874" s="289" t="s">
        <v>1731</v>
      </c>
      <c r="L874" s="288" t="s">
        <v>1773</v>
      </c>
      <c r="M874" s="288" t="s">
        <v>1774</v>
      </c>
      <c r="N874" s="288" t="s">
        <v>1734</v>
      </c>
      <c r="O874" s="289" t="s">
        <v>1791</v>
      </c>
      <c r="P874" s="292"/>
    </row>
    <row r="875" spans="1:16" hidden="1" x14ac:dyDescent="0.25">
      <c r="A875" s="287" t="s">
        <v>4019</v>
      </c>
      <c r="B875" s="311" t="s">
        <v>4020</v>
      </c>
      <c r="C875" s="305"/>
      <c r="D875" s="288" t="s">
        <v>4021</v>
      </c>
      <c r="E875" s="288" t="s">
        <v>1741</v>
      </c>
      <c r="F875" s="289"/>
      <c r="G875" s="290">
        <v>45568</v>
      </c>
      <c r="H875" s="291">
        <v>13500</v>
      </c>
      <c r="I875" s="291">
        <v>13500</v>
      </c>
      <c r="J875" s="291">
        <v>-13500</v>
      </c>
      <c r="K875" s="289" t="s">
        <v>1731</v>
      </c>
      <c r="L875" s="288" t="s">
        <v>1732</v>
      </c>
      <c r="M875" s="288" t="s">
        <v>1733</v>
      </c>
      <c r="N875" s="288" t="s">
        <v>1734</v>
      </c>
      <c r="O875" s="289" t="s">
        <v>1791</v>
      </c>
      <c r="P875" s="292"/>
    </row>
    <row r="876" spans="1:16" hidden="1" x14ac:dyDescent="0.25">
      <c r="A876" s="287" t="s">
        <v>4022</v>
      </c>
      <c r="B876" s="311" t="s">
        <v>4023</v>
      </c>
      <c r="C876" s="305"/>
      <c r="D876" s="288" t="s">
        <v>4024</v>
      </c>
      <c r="E876" s="288" t="s">
        <v>1741</v>
      </c>
      <c r="F876" s="289"/>
      <c r="G876" s="290">
        <v>45568</v>
      </c>
      <c r="H876" s="291">
        <v>6300</v>
      </c>
      <c r="I876" s="291">
        <v>6300</v>
      </c>
      <c r="J876" s="291">
        <v>-6300</v>
      </c>
      <c r="K876" s="289" t="s">
        <v>1731</v>
      </c>
      <c r="L876" s="288" t="s">
        <v>1732</v>
      </c>
      <c r="M876" s="288" t="s">
        <v>1733</v>
      </c>
      <c r="N876" s="288" t="s">
        <v>1734</v>
      </c>
      <c r="O876" s="289" t="s">
        <v>1791</v>
      </c>
      <c r="P876" s="292"/>
    </row>
    <row r="877" spans="1:16" hidden="1" x14ac:dyDescent="0.25">
      <c r="A877" s="287" t="s">
        <v>4025</v>
      </c>
      <c r="B877" s="311" t="s">
        <v>4026</v>
      </c>
      <c r="C877" s="305"/>
      <c r="D877" s="288" t="s">
        <v>4027</v>
      </c>
      <c r="E877" s="288"/>
      <c r="F877" s="289"/>
      <c r="G877" s="290">
        <v>45740</v>
      </c>
      <c r="H877" s="291">
        <v>28950</v>
      </c>
      <c r="I877" s="291">
        <v>28950</v>
      </c>
      <c r="J877" s="291">
        <v>-28950</v>
      </c>
      <c r="K877" s="289" t="s">
        <v>1731</v>
      </c>
      <c r="L877" s="288" t="s">
        <v>1773</v>
      </c>
      <c r="M877" s="288" t="s">
        <v>1774</v>
      </c>
      <c r="N877" s="288" t="s">
        <v>1734</v>
      </c>
      <c r="O877" s="289" t="s">
        <v>1791</v>
      </c>
      <c r="P877" s="292"/>
    </row>
    <row r="878" spans="1:16" hidden="1" x14ac:dyDescent="0.25">
      <c r="A878" s="287" t="s">
        <v>4025</v>
      </c>
      <c r="B878" s="311" t="s">
        <v>4026</v>
      </c>
      <c r="C878" s="305"/>
      <c r="D878" s="288" t="s">
        <v>4027</v>
      </c>
      <c r="E878" s="288" t="s">
        <v>1741</v>
      </c>
      <c r="F878" s="289"/>
      <c r="G878" s="290">
        <v>45566</v>
      </c>
      <c r="H878" s="291">
        <v>31350</v>
      </c>
      <c r="I878" s="291">
        <v>31350</v>
      </c>
      <c r="J878" s="291">
        <v>-31350</v>
      </c>
      <c r="K878" s="289" t="s">
        <v>1731</v>
      </c>
      <c r="L878" s="288" t="s">
        <v>1773</v>
      </c>
      <c r="M878" s="288" t="s">
        <v>1774</v>
      </c>
      <c r="N878" s="288" t="s">
        <v>1734</v>
      </c>
      <c r="O878" s="289" t="s">
        <v>1791</v>
      </c>
      <c r="P878" s="292"/>
    </row>
    <row r="879" spans="1:16" hidden="1" x14ac:dyDescent="0.25">
      <c r="A879" s="287" t="s">
        <v>4028</v>
      </c>
      <c r="B879" s="311" t="s">
        <v>4029</v>
      </c>
      <c r="C879" s="305"/>
      <c r="D879" s="288" t="s">
        <v>4030</v>
      </c>
      <c r="E879" s="288" t="s">
        <v>4031</v>
      </c>
      <c r="F879" s="289">
        <v>8000700379</v>
      </c>
      <c r="G879" s="290">
        <v>46065</v>
      </c>
      <c r="H879" s="291">
        <v>447925.2</v>
      </c>
      <c r="I879" s="291">
        <v>447925.2</v>
      </c>
      <c r="J879" s="291">
        <v>0</v>
      </c>
      <c r="K879" s="289" t="s">
        <v>1731</v>
      </c>
      <c r="L879" s="288" t="s">
        <v>1773</v>
      </c>
      <c r="M879" s="288" t="s">
        <v>1774</v>
      </c>
      <c r="N879" s="288" t="s">
        <v>1734</v>
      </c>
      <c r="O879" s="289" t="s">
        <v>1929</v>
      </c>
      <c r="P879" s="292"/>
    </row>
    <row r="880" spans="1:16" hidden="1" x14ac:dyDescent="0.25">
      <c r="A880" s="287" t="s">
        <v>4032</v>
      </c>
      <c r="B880" s="311" t="s">
        <v>4033</v>
      </c>
      <c r="C880" s="305"/>
      <c r="D880" s="288" t="s">
        <v>4034</v>
      </c>
      <c r="E880" s="288"/>
      <c r="F880" s="289">
        <v>8701741232</v>
      </c>
      <c r="G880" s="290">
        <v>46044</v>
      </c>
      <c r="H880" s="291">
        <v>4245.7</v>
      </c>
      <c r="I880" s="291">
        <v>0</v>
      </c>
      <c r="J880" s="291">
        <v>0</v>
      </c>
      <c r="K880" s="289" t="s">
        <v>1731</v>
      </c>
      <c r="L880" s="288" t="s">
        <v>1732</v>
      </c>
      <c r="M880" s="288" t="s">
        <v>1733</v>
      </c>
      <c r="N880" s="288" t="s">
        <v>1734</v>
      </c>
      <c r="O880" s="289" t="s">
        <v>1796</v>
      </c>
      <c r="P880" s="292"/>
    </row>
    <row r="881" spans="1:16" hidden="1" x14ac:dyDescent="0.25">
      <c r="A881" s="287" t="s">
        <v>4035</v>
      </c>
      <c r="B881" s="311" t="s">
        <v>4036</v>
      </c>
      <c r="C881" s="305"/>
      <c r="D881" s="288" t="s">
        <v>4037</v>
      </c>
      <c r="E881" s="288"/>
      <c r="F881" s="289"/>
      <c r="G881" s="290">
        <v>45631</v>
      </c>
      <c r="H881" s="291">
        <v>44000</v>
      </c>
      <c r="I881" s="291">
        <v>44000</v>
      </c>
      <c r="J881" s="291">
        <v>-44000</v>
      </c>
      <c r="K881" s="289" t="s">
        <v>1731</v>
      </c>
      <c r="L881" s="288" t="s">
        <v>1773</v>
      </c>
      <c r="M881" s="288" t="s">
        <v>1774</v>
      </c>
      <c r="N881" s="288" t="s">
        <v>1734</v>
      </c>
      <c r="O881" s="289" t="s">
        <v>1791</v>
      </c>
      <c r="P881" s="292"/>
    </row>
    <row r="882" spans="1:16" hidden="1" x14ac:dyDescent="0.25">
      <c r="A882" s="287" t="s">
        <v>4038</v>
      </c>
      <c r="B882" s="311" t="s">
        <v>4039</v>
      </c>
      <c r="C882" s="305"/>
      <c r="D882" s="288" t="s">
        <v>4040</v>
      </c>
      <c r="E882" s="288"/>
      <c r="F882" s="289"/>
      <c r="G882" s="290">
        <v>45651</v>
      </c>
      <c r="H882" s="291">
        <v>35000</v>
      </c>
      <c r="I882" s="291">
        <v>35000</v>
      </c>
      <c r="J882" s="291">
        <v>-35000</v>
      </c>
      <c r="K882" s="289" t="s">
        <v>1731</v>
      </c>
      <c r="L882" s="288" t="s">
        <v>1773</v>
      </c>
      <c r="M882" s="288" t="s">
        <v>1774</v>
      </c>
      <c r="N882" s="288" t="s">
        <v>1734</v>
      </c>
      <c r="O882" s="289" t="s">
        <v>1791</v>
      </c>
      <c r="P882" s="292"/>
    </row>
    <row r="883" spans="1:16" hidden="1" x14ac:dyDescent="0.25">
      <c r="A883" s="287" t="s">
        <v>4041</v>
      </c>
      <c r="B883" s="311" t="s">
        <v>4042</v>
      </c>
      <c r="C883" s="305"/>
      <c r="D883" s="288" t="s">
        <v>4043</v>
      </c>
      <c r="E883" s="288"/>
      <c r="F883" s="289"/>
      <c r="G883" s="290">
        <v>45645</v>
      </c>
      <c r="H883" s="291">
        <v>57080</v>
      </c>
      <c r="I883" s="291">
        <v>57080</v>
      </c>
      <c r="J883" s="291">
        <v>-57080</v>
      </c>
      <c r="K883" s="289" t="s">
        <v>1731</v>
      </c>
      <c r="L883" s="288" t="s">
        <v>1732</v>
      </c>
      <c r="M883" s="288" t="s">
        <v>1733</v>
      </c>
      <c r="N883" s="288" t="s">
        <v>1734</v>
      </c>
      <c r="O883" s="289" t="s">
        <v>1791</v>
      </c>
      <c r="P883" s="292"/>
    </row>
    <row r="884" spans="1:16" hidden="1" x14ac:dyDescent="0.25">
      <c r="A884" s="287" t="s">
        <v>4044</v>
      </c>
      <c r="B884" s="311" t="s">
        <v>4045</v>
      </c>
      <c r="C884" s="305"/>
      <c r="D884" s="288" t="s">
        <v>4046</v>
      </c>
      <c r="E884" s="288"/>
      <c r="F884" s="289"/>
      <c r="G884" s="290">
        <v>45708</v>
      </c>
      <c r="H884" s="291">
        <v>7000</v>
      </c>
      <c r="I884" s="291">
        <v>7000</v>
      </c>
      <c r="J884" s="291">
        <v>-7000</v>
      </c>
      <c r="K884" s="289" t="s">
        <v>1731</v>
      </c>
      <c r="L884" s="288" t="s">
        <v>1773</v>
      </c>
      <c r="M884" s="288" t="s">
        <v>1774</v>
      </c>
      <c r="N884" s="288" t="s">
        <v>1734</v>
      </c>
      <c r="O884" s="289" t="s">
        <v>1791</v>
      </c>
      <c r="P884" s="292"/>
    </row>
    <row r="885" spans="1:16" hidden="1" x14ac:dyDescent="0.25">
      <c r="A885" s="287" t="s">
        <v>4047</v>
      </c>
      <c r="B885" s="311" t="s">
        <v>4048</v>
      </c>
      <c r="C885" s="305"/>
      <c r="D885" s="288" t="s">
        <v>4049</v>
      </c>
      <c r="E885" s="288"/>
      <c r="F885" s="289"/>
      <c r="G885" s="290">
        <v>45708</v>
      </c>
      <c r="H885" s="291">
        <v>9480</v>
      </c>
      <c r="I885" s="291">
        <v>9480</v>
      </c>
      <c r="J885" s="291">
        <v>-9480</v>
      </c>
      <c r="K885" s="289" t="s">
        <v>1731</v>
      </c>
      <c r="L885" s="288" t="s">
        <v>1773</v>
      </c>
      <c r="M885" s="288" t="s">
        <v>1774</v>
      </c>
      <c r="N885" s="288" t="s">
        <v>1734</v>
      </c>
      <c r="O885" s="289" t="s">
        <v>1791</v>
      </c>
      <c r="P885" s="292"/>
    </row>
    <row r="886" spans="1:16" hidden="1" x14ac:dyDescent="0.25">
      <c r="A886" s="287" t="s">
        <v>4050</v>
      </c>
      <c r="B886" s="311" t="s">
        <v>4051</v>
      </c>
      <c r="C886" s="305"/>
      <c r="D886" s="288" t="s">
        <v>4052</v>
      </c>
      <c r="E886" s="288"/>
      <c r="F886" s="289">
        <v>8701770698</v>
      </c>
      <c r="G886" s="290">
        <v>46072</v>
      </c>
      <c r="H886" s="291">
        <v>50000</v>
      </c>
      <c r="I886" s="291">
        <v>50000</v>
      </c>
      <c r="J886" s="291">
        <v>0</v>
      </c>
      <c r="K886" s="289" t="s">
        <v>1731</v>
      </c>
      <c r="L886" s="288" t="s">
        <v>1773</v>
      </c>
      <c r="M886" s="288" t="s">
        <v>1774</v>
      </c>
      <c r="N886" s="288" t="s">
        <v>1734</v>
      </c>
      <c r="O886" s="289" t="s">
        <v>4053</v>
      </c>
      <c r="P886" s="292"/>
    </row>
    <row r="887" spans="1:16" hidden="1" x14ac:dyDescent="0.25">
      <c r="A887" s="287" t="s">
        <v>4054</v>
      </c>
      <c r="B887" s="311" t="s">
        <v>4055</v>
      </c>
      <c r="C887" s="305"/>
      <c r="D887" s="288" t="s">
        <v>4056</v>
      </c>
      <c r="E887" s="288"/>
      <c r="F887" s="289"/>
      <c r="G887" s="290">
        <v>45744</v>
      </c>
      <c r="H887" s="291">
        <v>11650</v>
      </c>
      <c r="I887" s="291">
        <v>11650</v>
      </c>
      <c r="J887" s="291">
        <v>-11650</v>
      </c>
      <c r="K887" s="289" t="s">
        <v>1731</v>
      </c>
      <c r="L887" s="288" t="s">
        <v>1732</v>
      </c>
      <c r="M887" s="288" t="s">
        <v>1733</v>
      </c>
      <c r="N887" s="288" t="s">
        <v>1734</v>
      </c>
      <c r="O887" s="289" t="s">
        <v>1791</v>
      </c>
      <c r="P887" s="292"/>
    </row>
    <row r="888" spans="1:16" hidden="1" x14ac:dyDescent="0.25">
      <c r="A888" s="287" t="s">
        <v>4057</v>
      </c>
      <c r="B888" s="311" t="s">
        <v>4058</v>
      </c>
      <c r="C888" s="305"/>
      <c r="D888" s="288" t="s">
        <v>4059</v>
      </c>
      <c r="E888" s="288"/>
      <c r="F888" s="289">
        <v>8701533560</v>
      </c>
      <c r="G888" s="290">
        <v>45796</v>
      </c>
      <c r="H888" s="291">
        <v>26938</v>
      </c>
      <c r="I888" s="291">
        <v>26938</v>
      </c>
      <c r="J888" s="291">
        <v>0</v>
      </c>
      <c r="K888" s="289" t="s">
        <v>1731</v>
      </c>
      <c r="L888" s="288" t="s">
        <v>1732</v>
      </c>
      <c r="M888" s="288" t="s">
        <v>1733</v>
      </c>
      <c r="N888" s="288" t="s">
        <v>1734</v>
      </c>
      <c r="O888" s="289" t="s">
        <v>1796</v>
      </c>
      <c r="P888" s="292"/>
    </row>
    <row r="889" spans="1:16" hidden="1" x14ac:dyDescent="0.25">
      <c r="A889" s="287" t="s">
        <v>4060</v>
      </c>
      <c r="B889" s="311" t="s">
        <v>4061</v>
      </c>
      <c r="C889" s="305"/>
      <c r="D889" s="288" t="s">
        <v>4062</v>
      </c>
      <c r="E889" s="288" t="s">
        <v>648</v>
      </c>
      <c r="F889" s="289">
        <v>8000740226</v>
      </c>
      <c r="G889" s="290">
        <v>45847</v>
      </c>
      <c r="H889" s="291">
        <v>90000</v>
      </c>
      <c r="I889" s="291">
        <v>90000</v>
      </c>
      <c r="J889" s="291">
        <v>-90000</v>
      </c>
      <c r="K889" s="289" t="s">
        <v>1731</v>
      </c>
      <c r="L889" s="288" t="s">
        <v>1773</v>
      </c>
      <c r="M889" s="288" t="s">
        <v>1774</v>
      </c>
      <c r="N889" s="288" t="s">
        <v>1734</v>
      </c>
      <c r="O889" s="289" t="s">
        <v>2222</v>
      </c>
      <c r="P889" s="292"/>
    </row>
    <row r="890" spans="1:16" hidden="1" x14ac:dyDescent="0.25">
      <c r="A890" s="287" t="s">
        <v>4063</v>
      </c>
      <c r="B890" s="311" t="s">
        <v>4064</v>
      </c>
      <c r="C890" s="305"/>
      <c r="D890" s="288" t="s">
        <v>4065</v>
      </c>
      <c r="E890" s="288"/>
      <c r="F890" s="289">
        <v>8701671109</v>
      </c>
      <c r="G890" s="290">
        <v>45957</v>
      </c>
      <c r="H890" s="291">
        <v>29500</v>
      </c>
      <c r="I890" s="291">
        <v>29500</v>
      </c>
      <c r="J890" s="291">
        <v>0</v>
      </c>
      <c r="K890" s="289" t="s">
        <v>1731</v>
      </c>
      <c r="L890" s="288" t="s">
        <v>2164</v>
      </c>
      <c r="M890" s="288" t="s">
        <v>2165</v>
      </c>
      <c r="N890" s="288" t="s">
        <v>1734</v>
      </c>
      <c r="O890" s="289" t="s">
        <v>1735</v>
      </c>
      <c r="P890" s="292"/>
    </row>
    <row r="891" spans="1:16" hidden="1" x14ac:dyDescent="0.25">
      <c r="A891" s="287" t="s">
        <v>4066</v>
      </c>
      <c r="B891" s="311" t="s">
        <v>4067</v>
      </c>
      <c r="C891" s="305"/>
      <c r="D891" s="288" t="s">
        <v>4068</v>
      </c>
      <c r="E891" s="288" t="s">
        <v>1248</v>
      </c>
      <c r="F891" s="289">
        <v>8000773895</v>
      </c>
      <c r="G891" s="290">
        <v>46066</v>
      </c>
      <c r="H891" s="291">
        <v>200000</v>
      </c>
      <c r="I891" s="291">
        <v>200000</v>
      </c>
      <c r="J891" s="291">
        <v>0</v>
      </c>
      <c r="K891" s="289" t="s">
        <v>1731</v>
      </c>
      <c r="L891" s="288" t="s">
        <v>1828</v>
      </c>
      <c r="M891" s="288" t="s">
        <v>1829</v>
      </c>
      <c r="N891" s="288" t="s">
        <v>1830</v>
      </c>
      <c r="O891" s="289" t="s">
        <v>4069</v>
      </c>
      <c r="P891" s="292"/>
    </row>
    <row r="892" spans="1:16" hidden="1" x14ac:dyDescent="0.25">
      <c r="A892" s="287" t="s">
        <v>4070</v>
      </c>
      <c r="B892" s="311" t="s">
        <v>4071</v>
      </c>
      <c r="C892" s="305"/>
      <c r="D892" s="288" t="s">
        <v>4072</v>
      </c>
      <c r="E892" s="288" t="s">
        <v>4073</v>
      </c>
      <c r="F892" s="289">
        <v>8000785952</v>
      </c>
      <c r="G892" s="290">
        <v>45995</v>
      </c>
      <c r="H892" s="291">
        <v>359120</v>
      </c>
      <c r="I892" s="291">
        <v>359120</v>
      </c>
      <c r="J892" s="291">
        <v>0</v>
      </c>
      <c r="K892" s="289" t="s">
        <v>1731</v>
      </c>
      <c r="L892" s="288" t="s">
        <v>1773</v>
      </c>
      <c r="M892" s="288" t="s">
        <v>1774</v>
      </c>
      <c r="N892" s="288" t="s">
        <v>1734</v>
      </c>
      <c r="O892" s="289" t="s">
        <v>2595</v>
      </c>
      <c r="P892" s="292"/>
    </row>
    <row r="893" spans="1:16" hidden="1" x14ac:dyDescent="0.25">
      <c r="A893" s="287" t="s">
        <v>4074</v>
      </c>
      <c r="B893" s="311" t="s">
        <v>4075</v>
      </c>
      <c r="C893" s="305"/>
      <c r="D893" s="288" t="s">
        <v>4076</v>
      </c>
      <c r="E893" s="288"/>
      <c r="F893" s="289">
        <v>8701717707</v>
      </c>
      <c r="G893" s="290">
        <v>46009</v>
      </c>
      <c r="H893" s="291">
        <v>97200</v>
      </c>
      <c r="I893" s="291">
        <v>0</v>
      </c>
      <c r="J893" s="291">
        <v>0</v>
      </c>
      <c r="K893" s="289" t="s">
        <v>1731</v>
      </c>
      <c r="L893" s="288" t="s">
        <v>1732</v>
      </c>
      <c r="M893" s="288" t="s">
        <v>1733</v>
      </c>
      <c r="N893" s="288" t="s">
        <v>1734</v>
      </c>
      <c r="O893" s="289" t="s">
        <v>1796</v>
      </c>
      <c r="P893" s="292"/>
    </row>
    <row r="894" spans="1:16" hidden="1" x14ac:dyDescent="0.25">
      <c r="A894" s="287" t="s">
        <v>4077</v>
      </c>
      <c r="B894" s="311" t="s">
        <v>4078</v>
      </c>
      <c r="C894" s="305"/>
      <c r="D894" s="288" t="s">
        <v>4079</v>
      </c>
      <c r="E894" s="288" t="s">
        <v>1741</v>
      </c>
      <c r="F894" s="289">
        <v>8701760576</v>
      </c>
      <c r="G894" s="290">
        <v>46065</v>
      </c>
      <c r="H894" s="291">
        <v>66795</v>
      </c>
      <c r="I894" s="291">
        <v>66795</v>
      </c>
      <c r="J894" s="291">
        <v>0</v>
      </c>
      <c r="K894" s="289" t="s">
        <v>1731</v>
      </c>
      <c r="L894" s="288" t="s">
        <v>1773</v>
      </c>
      <c r="M894" s="288" t="s">
        <v>1774</v>
      </c>
      <c r="N894" s="288" t="s">
        <v>1734</v>
      </c>
      <c r="O894" s="289" t="s">
        <v>1914</v>
      </c>
      <c r="P894" s="292"/>
    </row>
    <row r="895" spans="1:16" hidden="1" x14ac:dyDescent="0.25">
      <c r="A895" s="287" t="s">
        <v>4080</v>
      </c>
      <c r="B895" s="311" t="s">
        <v>4081</v>
      </c>
      <c r="C895" s="305"/>
      <c r="D895" s="288" t="s">
        <v>4082</v>
      </c>
      <c r="E895" s="288"/>
      <c r="F895" s="289">
        <v>8701762997</v>
      </c>
      <c r="G895" s="290">
        <v>46065</v>
      </c>
      <c r="H895" s="291">
        <v>55500</v>
      </c>
      <c r="I895" s="291">
        <v>55500</v>
      </c>
      <c r="J895" s="291">
        <v>0</v>
      </c>
      <c r="K895" s="289" t="s">
        <v>1731</v>
      </c>
      <c r="L895" s="288" t="s">
        <v>1773</v>
      </c>
      <c r="M895" s="288" t="s">
        <v>1774</v>
      </c>
      <c r="N895" s="288" t="s">
        <v>1734</v>
      </c>
      <c r="O895" s="289" t="s">
        <v>2643</v>
      </c>
      <c r="P895" s="292"/>
    </row>
    <row r="896" spans="1:16" hidden="1" x14ac:dyDescent="0.25">
      <c r="A896" s="287" t="s">
        <v>4083</v>
      </c>
      <c r="B896" s="311" t="s">
        <v>4084</v>
      </c>
      <c r="C896" s="305"/>
      <c r="D896" s="288" t="s">
        <v>4085</v>
      </c>
      <c r="E896" s="288"/>
      <c r="F896" s="289"/>
      <c r="G896" s="290">
        <v>45645</v>
      </c>
      <c r="H896" s="291">
        <v>79552.5</v>
      </c>
      <c r="I896" s="291">
        <v>79552.5</v>
      </c>
      <c r="J896" s="291">
        <v>-79552.5</v>
      </c>
      <c r="K896" s="289" t="s">
        <v>1731</v>
      </c>
      <c r="L896" s="288" t="s">
        <v>1732</v>
      </c>
      <c r="M896" s="288" t="s">
        <v>1733</v>
      </c>
      <c r="N896" s="288" t="s">
        <v>1734</v>
      </c>
      <c r="O896" s="289" t="s">
        <v>1791</v>
      </c>
      <c r="P896" s="292"/>
    </row>
    <row r="897" spans="1:16" hidden="1" x14ac:dyDescent="0.25">
      <c r="A897" s="287" t="s">
        <v>4083</v>
      </c>
      <c r="B897" s="311" t="s">
        <v>4084</v>
      </c>
      <c r="C897" s="305"/>
      <c r="D897" s="288" t="s">
        <v>4085</v>
      </c>
      <c r="E897" s="288" t="s">
        <v>1741</v>
      </c>
      <c r="F897" s="289"/>
      <c r="G897" s="290">
        <v>45545</v>
      </c>
      <c r="H897" s="291">
        <v>41534.5</v>
      </c>
      <c r="I897" s="291">
        <v>41534.5</v>
      </c>
      <c r="J897" s="291">
        <v>-41014.5</v>
      </c>
      <c r="K897" s="289" t="s">
        <v>1731</v>
      </c>
      <c r="L897" s="288" t="s">
        <v>1732</v>
      </c>
      <c r="M897" s="288" t="s">
        <v>1733</v>
      </c>
      <c r="N897" s="288" t="s">
        <v>1734</v>
      </c>
      <c r="O897" s="289" t="s">
        <v>1791</v>
      </c>
      <c r="P897" s="292"/>
    </row>
    <row r="898" spans="1:16" hidden="1" x14ac:dyDescent="0.25">
      <c r="A898" s="287" t="s">
        <v>4086</v>
      </c>
      <c r="B898" s="311" t="s">
        <v>4087</v>
      </c>
      <c r="C898" s="305"/>
      <c r="D898" s="288" t="s">
        <v>4088</v>
      </c>
      <c r="E898" s="288" t="s">
        <v>1741</v>
      </c>
      <c r="F898" s="289"/>
      <c r="G898" s="290">
        <v>45539</v>
      </c>
      <c r="H898" s="291">
        <v>13200</v>
      </c>
      <c r="I898" s="291">
        <v>13200</v>
      </c>
      <c r="J898" s="291">
        <v>-13200</v>
      </c>
      <c r="K898" s="289" t="s">
        <v>1731</v>
      </c>
      <c r="L898" s="288" t="s">
        <v>1732</v>
      </c>
      <c r="M898" s="288" t="s">
        <v>1733</v>
      </c>
      <c r="N898" s="288" t="s">
        <v>1734</v>
      </c>
      <c r="O898" s="289" t="s">
        <v>1791</v>
      </c>
      <c r="P898" s="292"/>
    </row>
    <row r="899" spans="1:16" hidden="1" x14ac:dyDescent="0.25">
      <c r="A899" s="287" t="s">
        <v>4089</v>
      </c>
      <c r="B899" s="311" t="s">
        <v>4090</v>
      </c>
      <c r="C899" s="305"/>
      <c r="D899" s="288" t="s">
        <v>4091</v>
      </c>
      <c r="E899" s="288"/>
      <c r="F899" s="289"/>
      <c r="G899" s="290">
        <v>46066</v>
      </c>
      <c r="H899" s="291">
        <v>3599.07</v>
      </c>
      <c r="I899" s="291">
        <v>3599.07</v>
      </c>
      <c r="J899" s="291">
        <v>-3599.07</v>
      </c>
      <c r="K899" s="289" t="s">
        <v>1731</v>
      </c>
      <c r="L899" s="288" t="s">
        <v>2706</v>
      </c>
      <c r="M899" s="288" t="s">
        <v>2707</v>
      </c>
      <c r="N899" s="288" t="s">
        <v>1830</v>
      </c>
      <c r="O899" s="289" t="s">
        <v>1791</v>
      </c>
      <c r="P899" s="292"/>
    </row>
    <row r="900" spans="1:16" hidden="1" x14ac:dyDescent="0.25">
      <c r="A900" s="287" t="s">
        <v>4092</v>
      </c>
      <c r="B900" s="311" t="s">
        <v>4093</v>
      </c>
      <c r="C900" s="305"/>
      <c r="D900" s="288" t="s">
        <v>4094</v>
      </c>
      <c r="E900" s="288"/>
      <c r="F900" s="289">
        <v>8701606501</v>
      </c>
      <c r="G900" s="290">
        <v>45883</v>
      </c>
      <c r="H900" s="291">
        <v>28302</v>
      </c>
      <c r="I900" s="291">
        <v>28302</v>
      </c>
      <c r="J900" s="291">
        <v>-28302</v>
      </c>
      <c r="K900" s="289" t="s">
        <v>1731</v>
      </c>
      <c r="L900" s="288" t="s">
        <v>1773</v>
      </c>
      <c r="M900" s="288" t="s">
        <v>1774</v>
      </c>
      <c r="N900" s="288" t="s">
        <v>1734</v>
      </c>
      <c r="O900" s="289" t="s">
        <v>1796</v>
      </c>
      <c r="P900" s="292"/>
    </row>
    <row r="901" spans="1:16" hidden="1" x14ac:dyDescent="0.25">
      <c r="A901" s="287" t="s">
        <v>4095</v>
      </c>
      <c r="B901" s="311" t="s">
        <v>4096</v>
      </c>
      <c r="C901" s="305"/>
      <c r="D901" s="288" t="s">
        <v>4097</v>
      </c>
      <c r="E901" s="288"/>
      <c r="F901" s="289"/>
      <c r="G901" s="290">
        <v>46002</v>
      </c>
      <c r="H901" s="291">
        <v>1682.1</v>
      </c>
      <c r="I901" s="291">
        <v>1682.1</v>
      </c>
      <c r="J901" s="291">
        <v>-1682.1</v>
      </c>
      <c r="K901" s="289" t="s">
        <v>1731</v>
      </c>
      <c r="L901" s="288" t="s">
        <v>2706</v>
      </c>
      <c r="M901" s="288" t="s">
        <v>2707</v>
      </c>
      <c r="N901" s="288" t="s">
        <v>1830</v>
      </c>
      <c r="O901" s="289" t="s">
        <v>1791</v>
      </c>
      <c r="P901" s="292"/>
    </row>
    <row r="902" spans="1:16" hidden="1" x14ac:dyDescent="0.25">
      <c r="A902" s="287" t="s">
        <v>4098</v>
      </c>
      <c r="B902" s="311" t="s">
        <v>4099</v>
      </c>
      <c r="C902" s="305"/>
      <c r="D902" s="288" t="s">
        <v>4100</v>
      </c>
      <c r="E902" s="288"/>
      <c r="F902" s="289"/>
      <c r="G902" s="290">
        <v>46002</v>
      </c>
      <c r="H902" s="291">
        <v>24377.14</v>
      </c>
      <c r="I902" s="291">
        <v>24377.14</v>
      </c>
      <c r="J902" s="291">
        <v>0</v>
      </c>
      <c r="K902" s="289" t="s">
        <v>1731</v>
      </c>
      <c r="L902" s="288" t="s">
        <v>2706</v>
      </c>
      <c r="M902" s="288" t="s">
        <v>2707</v>
      </c>
      <c r="N902" s="288" t="s">
        <v>1830</v>
      </c>
      <c r="O902" s="289" t="s">
        <v>1791</v>
      </c>
      <c r="P902" s="292"/>
    </row>
    <row r="903" spans="1:16" hidden="1" x14ac:dyDescent="0.25">
      <c r="A903" s="287" t="s">
        <v>4101</v>
      </c>
      <c r="B903" s="311" t="s">
        <v>4102</v>
      </c>
      <c r="C903" s="305"/>
      <c r="D903" s="288" t="s">
        <v>4103</v>
      </c>
      <c r="E903" s="288"/>
      <c r="F903" s="289"/>
      <c r="G903" s="290">
        <v>44908</v>
      </c>
      <c r="H903" s="291">
        <v>9800</v>
      </c>
      <c r="I903" s="291">
        <v>9800</v>
      </c>
      <c r="J903" s="291">
        <v>-9800</v>
      </c>
      <c r="K903" s="289" t="s">
        <v>1731</v>
      </c>
      <c r="L903" s="288" t="s">
        <v>2706</v>
      </c>
      <c r="M903" s="288" t="s">
        <v>2707</v>
      </c>
      <c r="N903" s="288" t="s">
        <v>1830</v>
      </c>
      <c r="O903" s="289" t="s">
        <v>1791</v>
      </c>
      <c r="P903" s="292"/>
    </row>
    <row r="904" spans="1:16" hidden="1" x14ac:dyDescent="0.25">
      <c r="A904" s="287" t="s">
        <v>4104</v>
      </c>
      <c r="B904" s="311" t="s">
        <v>4105</v>
      </c>
      <c r="C904" s="305"/>
      <c r="D904" s="288" t="s">
        <v>4106</v>
      </c>
      <c r="E904" s="288"/>
      <c r="F904" s="289"/>
      <c r="G904" s="290">
        <v>46066</v>
      </c>
      <c r="H904" s="291">
        <v>8372.8700000000008</v>
      </c>
      <c r="I904" s="291">
        <v>8372.8700000000008</v>
      </c>
      <c r="J904" s="291">
        <v>0</v>
      </c>
      <c r="K904" s="289" t="s">
        <v>1731</v>
      </c>
      <c r="L904" s="288" t="s">
        <v>2706</v>
      </c>
      <c r="M904" s="288" t="s">
        <v>2707</v>
      </c>
      <c r="N904" s="288" t="s">
        <v>1830</v>
      </c>
      <c r="O904" s="289" t="s">
        <v>1791</v>
      </c>
      <c r="P904" s="292"/>
    </row>
    <row r="905" spans="1:16" hidden="1" x14ac:dyDescent="0.25">
      <c r="A905" s="287" t="s">
        <v>4107</v>
      </c>
      <c r="B905" s="311" t="s">
        <v>4108</v>
      </c>
      <c r="C905" s="305"/>
      <c r="D905" s="288" t="s">
        <v>4109</v>
      </c>
      <c r="E905" s="288"/>
      <c r="F905" s="289"/>
      <c r="G905" s="290">
        <v>46066</v>
      </c>
      <c r="H905" s="291">
        <v>30596.5</v>
      </c>
      <c r="I905" s="291">
        <v>30596.5</v>
      </c>
      <c r="J905" s="291">
        <v>-30596.5</v>
      </c>
      <c r="K905" s="289" t="s">
        <v>1731</v>
      </c>
      <c r="L905" s="288" t="s">
        <v>2706</v>
      </c>
      <c r="M905" s="288" t="s">
        <v>2707</v>
      </c>
      <c r="N905" s="288" t="s">
        <v>1830</v>
      </c>
      <c r="O905" s="289" t="s">
        <v>1791</v>
      </c>
      <c r="P905" s="292"/>
    </row>
    <row r="906" spans="1:16" hidden="1" x14ac:dyDescent="0.25">
      <c r="A906" s="287" t="s">
        <v>4110</v>
      </c>
      <c r="B906" s="311" t="s">
        <v>4111</v>
      </c>
      <c r="C906" s="305"/>
      <c r="D906" s="288" t="s">
        <v>4112</v>
      </c>
      <c r="E906" s="288"/>
      <c r="F906" s="289"/>
      <c r="G906" s="290">
        <v>46066</v>
      </c>
      <c r="H906" s="291">
        <v>8042.07</v>
      </c>
      <c r="I906" s="291">
        <v>8042.07</v>
      </c>
      <c r="J906" s="291">
        <v>-8042.07</v>
      </c>
      <c r="K906" s="289" t="s">
        <v>1731</v>
      </c>
      <c r="L906" s="288" t="s">
        <v>2706</v>
      </c>
      <c r="M906" s="288" t="s">
        <v>2707</v>
      </c>
      <c r="N906" s="288" t="s">
        <v>1830</v>
      </c>
      <c r="O906" s="289" t="s">
        <v>1791</v>
      </c>
      <c r="P906" s="292"/>
    </row>
    <row r="907" spans="1:16" hidden="1" x14ac:dyDescent="0.25">
      <c r="A907" s="287" t="s">
        <v>4113</v>
      </c>
      <c r="B907" s="311" t="s">
        <v>4114</v>
      </c>
      <c r="C907" s="305"/>
      <c r="D907" s="288" t="s">
        <v>4115</v>
      </c>
      <c r="E907" s="288"/>
      <c r="F907" s="289"/>
      <c r="G907" s="290">
        <v>46066</v>
      </c>
      <c r="H907" s="291">
        <v>8.32</v>
      </c>
      <c r="I907" s="291">
        <v>8.32</v>
      </c>
      <c r="J907" s="291">
        <v>-8.32</v>
      </c>
      <c r="K907" s="289" t="s">
        <v>1731</v>
      </c>
      <c r="L907" s="288" t="s">
        <v>2706</v>
      </c>
      <c r="M907" s="288" t="s">
        <v>2707</v>
      </c>
      <c r="N907" s="288" t="s">
        <v>1830</v>
      </c>
      <c r="O907" s="289" t="s">
        <v>1791</v>
      </c>
      <c r="P907" s="292"/>
    </row>
    <row r="908" spans="1:16" hidden="1" x14ac:dyDescent="0.25">
      <c r="A908" s="287" t="s">
        <v>4116</v>
      </c>
      <c r="B908" s="311" t="s">
        <v>4117</v>
      </c>
      <c r="C908" s="305"/>
      <c r="D908" s="288" t="s">
        <v>4118</v>
      </c>
      <c r="E908" s="288" t="s">
        <v>4119</v>
      </c>
      <c r="F908" s="289"/>
      <c r="G908" s="290">
        <v>45630</v>
      </c>
      <c r="H908" s="291">
        <v>23840</v>
      </c>
      <c r="I908" s="291">
        <v>23840</v>
      </c>
      <c r="J908" s="291">
        <v>-23840</v>
      </c>
      <c r="K908" s="289" t="s">
        <v>1731</v>
      </c>
      <c r="L908" s="288" t="s">
        <v>2706</v>
      </c>
      <c r="M908" s="288" t="s">
        <v>2707</v>
      </c>
      <c r="N908" s="288" t="s">
        <v>1830</v>
      </c>
      <c r="O908" s="289" t="s">
        <v>1791</v>
      </c>
      <c r="P908" s="292"/>
    </row>
    <row r="909" spans="1:16" hidden="1" x14ac:dyDescent="0.25">
      <c r="A909" s="287" t="s">
        <v>4120</v>
      </c>
      <c r="B909" s="311" t="s">
        <v>4121</v>
      </c>
      <c r="C909" s="305"/>
      <c r="D909" s="288" t="s">
        <v>4122</v>
      </c>
      <c r="E909" s="288"/>
      <c r="F909" s="289"/>
      <c r="G909" s="290">
        <v>46066</v>
      </c>
      <c r="H909" s="291">
        <v>41.23</v>
      </c>
      <c r="I909" s="291">
        <v>41.23</v>
      </c>
      <c r="J909" s="291">
        <v>-41.23</v>
      </c>
      <c r="K909" s="289" t="s">
        <v>1731</v>
      </c>
      <c r="L909" s="288" t="s">
        <v>2706</v>
      </c>
      <c r="M909" s="288" t="s">
        <v>2707</v>
      </c>
      <c r="N909" s="288" t="s">
        <v>1830</v>
      </c>
      <c r="O909" s="289" t="s">
        <v>1791</v>
      </c>
      <c r="P909" s="292"/>
    </row>
    <row r="910" spans="1:16" hidden="1" x14ac:dyDescent="0.25">
      <c r="A910" s="287" t="s">
        <v>4123</v>
      </c>
      <c r="B910" s="311" t="s">
        <v>4124</v>
      </c>
      <c r="C910" s="305"/>
      <c r="D910" s="288" t="s">
        <v>4125</v>
      </c>
      <c r="E910" s="288"/>
      <c r="F910" s="289"/>
      <c r="G910" s="290">
        <v>46066</v>
      </c>
      <c r="H910" s="291">
        <v>2476.94</v>
      </c>
      <c r="I910" s="291">
        <v>2476.94</v>
      </c>
      <c r="J910" s="291">
        <v>-644</v>
      </c>
      <c r="K910" s="289" t="s">
        <v>1731</v>
      </c>
      <c r="L910" s="288" t="s">
        <v>2706</v>
      </c>
      <c r="M910" s="288" t="s">
        <v>2707</v>
      </c>
      <c r="N910" s="288" t="s">
        <v>1830</v>
      </c>
      <c r="O910" s="289" t="s">
        <v>1791</v>
      </c>
      <c r="P910" s="292"/>
    </row>
    <row r="911" spans="1:16" hidden="1" x14ac:dyDescent="0.25">
      <c r="A911" s="287" t="s">
        <v>4126</v>
      </c>
      <c r="B911" s="311" t="s">
        <v>4127</v>
      </c>
      <c r="C911" s="305"/>
      <c r="D911" s="288" t="s">
        <v>4128</v>
      </c>
      <c r="E911" s="288"/>
      <c r="F911" s="289"/>
      <c r="G911" s="290">
        <v>46002</v>
      </c>
      <c r="H911" s="291">
        <v>7730.07</v>
      </c>
      <c r="I911" s="291">
        <v>7730.07</v>
      </c>
      <c r="J911" s="291">
        <v>0</v>
      </c>
      <c r="K911" s="289" t="s">
        <v>1731</v>
      </c>
      <c r="L911" s="288" t="s">
        <v>2706</v>
      </c>
      <c r="M911" s="288" t="s">
        <v>2707</v>
      </c>
      <c r="N911" s="288" t="s">
        <v>1830</v>
      </c>
      <c r="O911" s="289" t="s">
        <v>1791</v>
      </c>
      <c r="P911" s="292"/>
    </row>
    <row r="912" spans="1:16" hidden="1" x14ac:dyDescent="0.25">
      <c r="A912" s="287" t="s">
        <v>4129</v>
      </c>
      <c r="B912" s="311" t="s">
        <v>4130</v>
      </c>
      <c r="C912" s="305"/>
      <c r="D912" s="288" t="s">
        <v>4131</v>
      </c>
      <c r="E912" s="288"/>
      <c r="F912" s="289"/>
      <c r="G912" s="290">
        <v>46066</v>
      </c>
      <c r="H912" s="291">
        <v>32767.57</v>
      </c>
      <c r="I912" s="291">
        <v>32767.57</v>
      </c>
      <c r="J912" s="291">
        <v>0</v>
      </c>
      <c r="K912" s="289" t="s">
        <v>1731</v>
      </c>
      <c r="L912" s="288" t="s">
        <v>2706</v>
      </c>
      <c r="M912" s="288" t="s">
        <v>2707</v>
      </c>
      <c r="N912" s="288" t="s">
        <v>1830</v>
      </c>
      <c r="O912" s="289" t="s">
        <v>1791</v>
      </c>
      <c r="P912" s="292"/>
    </row>
    <row r="913" spans="1:16" hidden="1" x14ac:dyDescent="0.25">
      <c r="A913" s="287" t="s">
        <v>4132</v>
      </c>
      <c r="B913" s="311" t="s">
        <v>4133</v>
      </c>
      <c r="C913" s="305"/>
      <c r="D913" s="288" t="s">
        <v>4134</v>
      </c>
      <c r="E913" s="288"/>
      <c r="F913" s="289"/>
      <c r="G913" s="290">
        <v>46066</v>
      </c>
      <c r="H913" s="291">
        <v>18365.22</v>
      </c>
      <c r="I913" s="291">
        <v>18365.22</v>
      </c>
      <c r="J913" s="291">
        <v>-18365.22</v>
      </c>
      <c r="K913" s="289" t="s">
        <v>1731</v>
      </c>
      <c r="L913" s="288" t="s">
        <v>2706</v>
      </c>
      <c r="M913" s="288" t="s">
        <v>2707</v>
      </c>
      <c r="N913" s="288" t="s">
        <v>1830</v>
      </c>
      <c r="O913" s="289" t="s">
        <v>1791</v>
      </c>
      <c r="P913" s="292"/>
    </row>
    <row r="914" spans="1:16" hidden="1" x14ac:dyDescent="0.25">
      <c r="A914" s="287" t="s">
        <v>4135</v>
      </c>
      <c r="B914" s="311" t="s">
        <v>4136</v>
      </c>
      <c r="C914" s="305"/>
      <c r="D914" s="288" t="s">
        <v>4137</v>
      </c>
      <c r="E914" s="288"/>
      <c r="F914" s="289"/>
      <c r="G914" s="290">
        <v>46066</v>
      </c>
      <c r="H914" s="291">
        <v>44.11</v>
      </c>
      <c r="I914" s="291">
        <v>44.11</v>
      </c>
      <c r="J914" s="291">
        <v>-44.11</v>
      </c>
      <c r="K914" s="289" t="s">
        <v>1731</v>
      </c>
      <c r="L914" s="288" t="s">
        <v>2706</v>
      </c>
      <c r="M914" s="288" t="s">
        <v>2707</v>
      </c>
      <c r="N914" s="288" t="s">
        <v>1830</v>
      </c>
      <c r="O914" s="289" t="s">
        <v>1791</v>
      </c>
      <c r="P914" s="292"/>
    </row>
    <row r="915" spans="1:16" hidden="1" x14ac:dyDescent="0.25">
      <c r="A915" s="287" t="s">
        <v>4138</v>
      </c>
      <c r="B915" s="311" t="s">
        <v>4139</v>
      </c>
      <c r="C915" s="305"/>
      <c r="D915" s="288" t="s">
        <v>4140</v>
      </c>
      <c r="E915" s="288"/>
      <c r="F915" s="289"/>
      <c r="G915" s="290">
        <v>46002</v>
      </c>
      <c r="H915" s="291">
        <v>8368.1200000000008</v>
      </c>
      <c r="I915" s="291">
        <v>8368.1200000000008</v>
      </c>
      <c r="J915" s="291">
        <v>-8368.1200000000008</v>
      </c>
      <c r="K915" s="289" t="s">
        <v>1731</v>
      </c>
      <c r="L915" s="288" t="s">
        <v>2706</v>
      </c>
      <c r="M915" s="288" t="s">
        <v>2707</v>
      </c>
      <c r="N915" s="288" t="s">
        <v>1830</v>
      </c>
      <c r="O915" s="289" t="s">
        <v>1791</v>
      </c>
      <c r="P915" s="292"/>
    </row>
    <row r="916" spans="1:16" hidden="1" x14ac:dyDescent="0.25">
      <c r="A916" s="287" t="s">
        <v>4141</v>
      </c>
      <c r="B916" s="311" t="s">
        <v>4142</v>
      </c>
      <c r="C916" s="305"/>
      <c r="D916" s="288" t="s">
        <v>4143</v>
      </c>
      <c r="E916" s="288"/>
      <c r="F916" s="289"/>
      <c r="G916" s="290">
        <v>46066</v>
      </c>
      <c r="H916" s="291">
        <v>8700.02</v>
      </c>
      <c r="I916" s="291">
        <v>8700.02</v>
      </c>
      <c r="J916" s="291">
        <v>-8700.02</v>
      </c>
      <c r="K916" s="289" t="s">
        <v>1731</v>
      </c>
      <c r="L916" s="288" t="s">
        <v>2706</v>
      </c>
      <c r="M916" s="288" t="s">
        <v>2707</v>
      </c>
      <c r="N916" s="288" t="s">
        <v>1830</v>
      </c>
      <c r="O916" s="289" t="s">
        <v>1791</v>
      </c>
      <c r="P916" s="292"/>
    </row>
    <row r="917" spans="1:16" hidden="1" x14ac:dyDescent="0.25">
      <c r="A917" s="287" t="s">
        <v>4144</v>
      </c>
      <c r="B917" s="311" t="s">
        <v>4145</v>
      </c>
      <c r="C917" s="305"/>
      <c r="D917" s="288" t="s">
        <v>4146</v>
      </c>
      <c r="E917" s="288" t="s">
        <v>4119</v>
      </c>
      <c r="F917" s="289"/>
      <c r="G917" s="290">
        <v>45440</v>
      </c>
      <c r="H917" s="291">
        <v>14700</v>
      </c>
      <c r="I917" s="291">
        <v>14700</v>
      </c>
      <c r="J917" s="291">
        <v>-14700</v>
      </c>
      <c r="K917" s="289" t="s">
        <v>1731</v>
      </c>
      <c r="L917" s="288" t="s">
        <v>2706</v>
      </c>
      <c r="M917" s="288" t="s">
        <v>2707</v>
      </c>
      <c r="N917" s="288" t="s">
        <v>1830</v>
      </c>
      <c r="O917" s="289" t="s">
        <v>1791</v>
      </c>
      <c r="P917" s="292"/>
    </row>
    <row r="918" spans="1:16" hidden="1" x14ac:dyDescent="0.25">
      <c r="A918" s="287" t="s">
        <v>4147</v>
      </c>
      <c r="B918" s="311" t="s">
        <v>4148</v>
      </c>
      <c r="C918" s="305"/>
      <c r="D918" s="288" t="s">
        <v>4149</v>
      </c>
      <c r="E918" s="288"/>
      <c r="F918" s="289"/>
      <c r="G918" s="290">
        <v>46066</v>
      </c>
      <c r="H918" s="291">
        <v>2704</v>
      </c>
      <c r="I918" s="291">
        <v>2704</v>
      </c>
      <c r="J918" s="291">
        <v>-2704</v>
      </c>
      <c r="K918" s="289" t="s">
        <v>1731</v>
      </c>
      <c r="L918" s="288" t="s">
        <v>2706</v>
      </c>
      <c r="M918" s="288" t="s">
        <v>2707</v>
      </c>
      <c r="N918" s="288" t="s">
        <v>1830</v>
      </c>
      <c r="O918" s="289" t="s">
        <v>1791</v>
      </c>
      <c r="P918" s="292"/>
    </row>
    <row r="919" spans="1:16" hidden="1" x14ac:dyDescent="0.25">
      <c r="A919" s="287" t="s">
        <v>4150</v>
      </c>
      <c r="B919" s="311" t="s">
        <v>4151</v>
      </c>
      <c r="C919" s="305"/>
      <c r="D919" s="288" t="s">
        <v>4152</v>
      </c>
      <c r="E919" s="288"/>
      <c r="F919" s="289"/>
      <c r="G919" s="290">
        <v>46066</v>
      </c>
      <c r="H919" s="291">
        <v>2666.64</v>
      </c>
      <c r="I919" s="291">
        <v>2666.64</v>
      </c>
      <c r="J919" s="291">
        <v>0</v>
      </c>
      <c r="K919" s="289" t="s">
        <v>1731</v>
      </c>
      <c r="L919" s="288" t="s">
        <v>2706</v>
      </c>
      <c r="M919" s="288" t="s">
        <v>2707</v>
      </c>
      <c r="N919" s="288" t="s">
        <v>1830</v>
      </c>
      <c r="O919" s="289" t="s">
        <v>1791</v>
      </c>
      <c r="P919" s="292"/>
    </row>
    <row r="920" spans="1:16" hidden="1" x14ac:dyDescent="0.25">
      <c r="A920" s="287" t="s">
        <v>4153</v>
      </c>
      <c r="B920" s="311" t="s">
        <v>4154</v>
      </c>
      <c r="C920" s="305"/>
      <c r="D920" s="288" t="s">
        <v>4155</v>
      </c>
      <c r="E920" s="288"/>
      <c r="F920" s="289"/>
      <c r="G920" s="290">
        <v>46066</v>
      </c>
      <c r="H920" s="291">
        <v>2090</v>
      </c>
      <c r="I920" s="291">
        <v>2090</v>
      </c>
      <c r="J920" s="291">
        <v>-2090</v>
      </c>
      <c r="K920" s="289" t="s">
        <v>1731</v>
      </c>
      <c r="L920" s="288" t="s">
        <v>2706</v>
      </c>
      <c r="M920" s="288" t="s">
        <v>2707</v>
      </c>
      <c r="N920" s="288" t="s">
        <v>1830</v>
      </c>
      <c r="O920" s="289" t="s">
        <v>1791</v>
      </c>
      <c r="P920" s="292"/>
    </row>
    <row r="921" spans="1:16" hidden="1" x14ac:dyDescent="0.25">
      <c r="A921" s="287" t="s">
        <v>4156</v>
      </c>
      <c r="B921" s="311" t="s">
        <v>4157</v>
      </c>
      <c r="C921" s="305"/>
      <c r="D921" s="288" t="s">
        <v>4158</v>
      </c>
      <c r="E921" s="288"/>
      <c r="F921" s="289"/>
      <c r="G921" s="290">
        <v>46066</v>
      </c>
      <c r="H921" s="291">
        <v>3751.88</v>
      </c>
      <c r="I921" s="291">
        <v>3751.88</v>
      </c>
      <c r="J921" s="291">
        <v>-3751.88</v>
      </c>
      <c r="K921" s="289" t="s">
        <v>1731</v>
      </c>
      <c r="L921" s="288" t="s">
        <v>2706</v>
      </c>
      <c r="M921" s="288" t="s">
        <v>2707</v>
      </c>
      <c r="N921" s="288" t="s">
        <v>1830</v>
      </c>
      <c r="O921" s="289" t="s">
        <v>1791</v>
      </c>
      <c r="P921" s="292"/>
    </row>
    <row r="922" spans="1:16" hidden="1" x14ac:dyDescent="0.25">
      <c r="A922" s="287" t="s">
        <v>4159</v>
      </c>
      <c r="B922" s="311" t="s">
        <v>4160</v>
      </c>
      <c r="C922" s="305"/>
      <c r="D922" s="288" t="s">
        <v>4161</v>
      </c>
      <c r="E922" s="288"/>
      <c r="F922" s="289"/>
      <c r="G922" s="290">
        <v>46066</v>
      </c>
      <c r="H922" s="291">
        <v>3217.07</v>
      </c>
      <c r="I922" s="291">
        <v>3217.07</v>
      </c>
      <c r="J922" s="291">
        <v>-3217.07</v>
      </c>
      <c r="K922" s="289" t="s">
        <v>1731</v>
      </c>
      <c r="L922" s="288" t="s">
        <v>2706</v>
      </c>
      <c r="M922" s="288" t="s">
        <v>2707</v>
      </c>
      <c r="N922" s="288" t="s">
        <v>1830</v>
      </c>
      <c r="O922" s="289" t="s">
        <v>1791</v>
      </c>
      <c r="P922" s="292"/>
    </row>
    <row r="923" spans="1:16" hidden="1" x14ac:dyDescent="0.25">
      <c r="A923" s="287" t="s">
        <v>4162</v>
      </c>
      <c r="B923" s="311" t="s">
        <v>4163</v>
      </c>
      <c r="C923" s="305"/>
      <c r="D923" s="288" t="s">
        <v>4164</v>
      </c>
      <c r="E923" s="288"/>
      <c r="F923" s="289"/>
      <c r="G923" s="290">
        <v>46066</v>
      </c>
      <c r="H923" s="291">
        <v>44.05</v>
      </c>
      <c r="I923" s="291">
        <v>44.05</v>
      </c>
      <c r="J923" s="291">
        <v>-44.05</v>
      </c>
      <c r="K923" s="289" t="s">
        <v>1731</v>
      </c>
      <c r="L923" s="288" t="s">
        <v>2706</v>
      </c>
      <c r="M923" s="288" t="s">
        <v>2707</v>
      </c>
      <c r="N923" s="288" t="s">
        <v>1830</v>
      </c>
      <c r="O923" s="289" t="s">
        <v>1791</v>
      </c>
      <c r="P923" s="292"/>
    </row>
    <row r="924" spans="1:16" hidden="1" x14ac:dyDescent="0.25">
      <c r="A924" s="287" t="s">
        <v>4165</v>
      </c>
      <c r="B924" s="311" t="s">
        <v>668</v>
      </c>
      <c r="C924" s="305"/>
      <c r="D924" s="288" t="s">
        <v>4166</v>
      </c>
      <c r="E924" s="288" t="s">
        <v>1741</v>
      </c>
      <c r="F924" s="289"/>
      <c r="G924" s="290">
        <v>45497</v>
      </c>
      <c r="H924" s="291">
        <v>48000</v>
      </c>
      <c r="I924" s="291">
        <v>48000</v>
      </c>
      <c r="J924" s="291">
        <v>-48000</v>
      </c>
      <c r="K924" s="289" t="s">
        <v>1731</v>
      </c>
      <c r="L924" s="288" t="s">
        <v>1773</v>
      </c>
      <c r="M924" s="288" t="s">
        <v>1774</v>
      </c>
      <c r="N924" s="288" t="s">
        <v>1734</v>
      </c>
      <c r="O924" s="289" t="s">
        <v>1791</v>
      </c>
      <c r="P924" s="292"/>
    </row>
    <row r="925" spans="1:16" hidden="1" x14ac:dyDescent="0.25">
      <c r="A925" s="287" t="s">
        <v>4167</v>
      </c>
      <c r="B925" s="311" t="s">
        <v>4168</v>
      </c>
      <c r="C925" s="305"/>
      <c r="D925" s="288" t="s">
        <v>4169</v>
      </c>
      <c r="E925" s="288"/>
      <c r="F925" s="289"/>
      <c r="G925" s="290">
        <v>46002</v>
      </c>
      <c r="H925" s="291">
        <v>7362.77</v>
      </c>
      <c r="I925" s="291">
        <v>7362.77</v>
      </c>
      <c r="J925" s="291">
        <v>0</v>
      </c>
      <c r="K925" s="289" t="s">
        <v>1731</v>
      </c>
      <c r="L925" s="288" t="s">
        <v>2706</v>
      </c>
      <c r="M925" s="288" t="s">
        <v>2707</v>
      </c>
      <c r="N925" s="288" t="s">
        <v>1830</v>
      </c>
      <c r="O925" s="289" t="s">
        <v>1791</v>
      </c>
      <c r="P925" s="292"/>
    </row>
    <row r="926" spans="1:16" hidden="1" x14ac:dyDescent="0.25">
      <c r="A926" s="287" t="s">
        <v>4170</v>
      </c>
      <c r="B926" s="311" t="s">
        <v>4171</v>
      </c>
      <c r="C926" s="305"/>
      <c r="D926" s="288" t="s">
        <v>4172</v>
      </c>
      <c r="E926" s="288"/>
      <c r="F926" s="289"/>
      <c r="G926" s="290">
        <v>46066</v>
      </c>
      <c r="H926" s="291">
        <v>3465.53</v>
      </c>
      <c r="I926" s="291">
        <v>3465.53</v>
      </c>
      <c r="J926" s="291">
        <v>-3465.53</v>
      </c>
      <c r="K926" s="289" t="s">
        <v>1731</v>
      </c>
      <c r="L926" s="288" t="s">
        <v>2706</v>
      </c>
      <c r="M926" s="288" t="s">
        <v>2707</v>
      </c>
      <c r="N926" s="288" t="s">
        <v>1830</v>
      </c>
      <c r="O926" s="289" t="s">
        <v>1791</v>
      </c>
      <c r="P926" s="292"/>
    </row>
    <row r="927" spans="1:16" hidden="1" x14ac:dyDescent="0.25">
      <c r="A927" s="287" t="s">
        <v>4173</v>
      </c>
      <c r="B927" s="311" t="s">
        <v>4174</v>
      </c>
      <c r="C927" s="305"/>
      <c r="D927" s="288" t="s">
        <v>4175</v>
      </c>
      <c r="E927" s="288"/>
      <c r="F927" s="289"/>
      <c r="G927" s="290">
        <v>46066</v>
      </c>
      <c r="H927" s="291">
        <v>0.01</v>
      </c>
      <c r="I927" s="291">
        <v>0.01</v>
      </c>
      <c r="J927" s="291">
        <v>-0.01</v>
      </c>
      <c r="K927" s="289" t="s">
        <v>1731</v>
      </c>
      <c r="L927" s="288" t="s">
        <v>2706</v>
      </c>
      <c r="M927" s="288" t="s">
        <v>2707</v>
      </c>
      <c r="N927" s="288" t="s">
        <v>1830</v>
      </c>
      <c r="O927" s="289" t="s">
        <v>1791</v>
      </c>
      <c r="P927" s="292"/>
    </row>
    <row r="928" spans="1:16" hidden="1" x14ac:dyDescent="0.25">
      <c r="A928" s="287" t="s">
        <v>4176</v>
      </c>
      <c r="B928" s="311" t="s">
        <v>4177</v>
      </c>
      <c r="C928" s="305"/>
      <c r="D928" s="288" t="s">
        <v>4178</v>
      </c>
      <c r="E928" s="288"/>
      <c r="F928" s="289"/>
      <c r="G928" s="290">
        <v>46002</v>
      </c>
      <c r="H928" s="291">
        <v>12404.31</v>
      </c>
      <c r="I928" s="291">
        <v>12404.31</v>
      </c>
      <c r="J928" s="291">
        <v>-12404.31</v>
      </c>
      <c r="K928" s="289" t="s">
        <v>1731</v>
      </c>
      <c r="L928" s="288" t="s">
        <v>2706</v>
      </c>
      <c r="M928" s="288" t="s">
        <v>2707</v>
      </c>
      <c r="N928" s="288" t="s">
        <v>1830</v>
      </c>
      <c r="O928" s="289" t="s">
        <v>1791</v>
      </c>
      <c r="P928" s="292"/>
    </row>
    <row r="929" spans="1:16" hidden="1" x14ac:dyDescent="0.25">
      <c r="A929" s="287" t="s">
        <v>4179</v>
      </c>
      <c r="B929" s="311" t="s">
        <v>4180</v>
      </c>
      <c r="C929" s="305"/>
      <c r="D929" s="288" t="s">
        <v>4181</v>
      </c>
      <c r="E929" s="288"/>
      <c r="F929" s="289"/>
      <c r="G929" s="290">
        <v>46066</v>
      </c>
      <c r="H929" s="291">
        <v>5413.78</v>
      </c>
      <c r="I929" s="291">
        <v>5413.78</v>
      </c>
      <c r="J929" s="291">
        <v>-5413.78</v>
      </c>
      <c r="K929" s="289" t="s">
        <v>1731</v>
      </c>
      <c r="L929" s="288" t="s">
        <v>2706</v>
      </c>
      <c r="M929" s="288" t="s">
        <v>2707</v>
      </c>
      <c r="N929" s="288" t="s">
        <v>1830</v>
      </c>
      <c r="O929" s="289" t="s">
        <v>1791</v>
      </c>
      <c r="P929" s="292"/>
    </row>
    <row r="930" spans="1:16" hidden="1" x14ac:dyDescent="0.25">
      <c r="A930" s="287" t="s">
        <v>4182</v>
      </c>
      <c r="B930" s="311" t="s">
        <v>4183</v>
      </c>
      <c r="C930" s="305"/>
      <c r="D930" s="288" t="s">
        <v>4184</v>
      </c>
      <c r="E930" s="288"/>
      <c r="F930" s="289"/>
      <c r="G930" s="290">
        <v>46070</v>
      </c>
      <c r="H930" s="291">
        <v>396.89</v>
      </c>
      <c r="I930" s="291">
        <v>396.89</v>
      </c>
      <c r="J930" s="291">
        <v>0</v>
      </c>
      <c r="K930" s="289" t="s">
        <v>1731</v>
      </c>
      <c r="L930" s="288" t="s">
        <v>2706</v>
      </c>
      <c r="M930" s="288" t="s">
        <v>2707</v>
      </c>
      <c r="N930" s="288" t="s">
        <v>1830</v>
      </c>
      <c r="O930" s="289" t="s">
        <v>1791</v>
      </c>
      <c r="P930" s="292"/>
    </row>
    <row r="931" spans="1:16" hidden="1" x14ac:dyDescent="0.25">
      <c r="A931" s="287" t="s">
        <v>4185</v>
      </c>
      <c r="B931" s="311" t="s">
        <v>4186</v>
      </c>
      <c r="C931" s="305"/>
      <c r="D931" s="288" t="s">
        <v>4187</v>
      </c>
      <c r="E931" s="288"/>
      <c r="F931" s="289"/>
      <c r="G931" s="290">
        <v>46066</v>
      </c>
      <c r="H931" s="291">
        <v>162.21</v>
      </c>
      <c r="I931" s="291">
        <v>162.21</v>
      </c>
      <c r="J931" s="291">
        <v>-162.21</v>
      </c>
      <c r="K931" s="289" t="s">
        <v>1731</v>
      </c>
      <c r="L931" s="288" t="s">
        <v>2706</v>
      </c>
      <c r="M931" s="288" t="s">
        <v>2707</v>
      </c>
      <c r="N931" s="288" t="s">
        <v>1830</v>
      </c>
      <c r="O931" s="289" t="s">
        <v>1791</v>
      </c>
      <c r="P931" s="292"/>
    </row>
    <row r="932" spans="1:16" hidden="1" x14ac:dyDescent="0.25">
      <c r="A932" s="287" t="s">
        <v>4188</v>
      </c>
      <c r="B932" s="311" t="s">
        <v>4189</v>
      </c>
      <c r="C932" s="305"/>
      <c r="D932" s="288" t="s">
        <v>4190</v>
      </c>
      <c r="E932" s="288"/>
      <c r="F932" s="289"/>
      <c r="G932" s="290">
        <v>46066</v>
      </c>
      <c r="H932" s="291">
        <v>1424.28</v>
      </c>
      <c r="I932" s="291">
        <v>1424.28</v>
      </c>
      <c r="J932" s="291">
        <v>-1424.28</v>
      </c>
      <c r="K932" s="289" t="s">
        <v>1731</v>
      </c>
      <c r="L932" s="288" t="s">
        <v>2706</v>
      </c>
      <c r="M932" s="288" t="s">
        <v>2707</v>
      </c>
      <c r="N932" s="288" t="s">
        <v>1830</v>
      </c>
      <c r="O932" s="289" t="s">
        <v>1791</v>
      </c>
      <c r="P932" s="292"/>
    </row>
    <row r="933" spans="1:16" hidden="1" x14ac:dyDescent="0.25">
      <c r="A933" s="287" t="s">
        <v>4191</v>
      </c>
      <c r="B933" s="311" t="s">
        <v>4192</v>
      </c>
      <c r="C933" s="305"/>
      <c r="D933" s="288" t="s">
        <v>4193</v>
      </c>
      <c r="E933" s="288"/>
      <c r="F933" s="289"/>
      <c r="G933" s="290">
        <v>46066</v>
      </c>
      <c r="H933" s="291">
        <v>1665.24</v>
      </c>
      <c r="I933" s="291">
        <v>1665.24</v>
      </c>
      <c r="J933" s="291">
        <v>-1665.24</v>
      </c>
      <c r="K933" s="289" t="s">
        <v>1731</v>
      </c>
      <c r="L933" s="288" t="s">
        <v>2706</v>
      </c>
      <c r="M933" s="288" t="s">
        <v>2707</v>
      </c>
      <c r="N933" s="288" t="s">
        <v>1830</v>
      </c>
      <c r="O933" s="289" t="s">
        <v>1791</v>
      </c>
      <c r="P933" s="292"/>
    </row>
    <row r="934" spans="1:16" hidden="1" x14ac:dyDescent="0.25">
      <c r="A934" s="287" t="s">
        <v>4194</v>
      </c>
      <c r="B934" s="311" t="s">
        <v>4195</v>
      </c>
      <c r="C934" s="305"/>
      <c r="D934" s="288" t="s">
        <v>4196</v>
      </c>
      <c r="E934" s="288"/>
      <c r="F934" s="289"/>
      <c r="G934" s="290">
        <v>46066</v>
      </c>
      <c r="H934" s="291">
        <v>1528.71</v>
      </c>
      <c r="I934" s="291">
        <v>1528.71</v>
      </c>
      <c r="J934" s="291">
        <v>0</v>
      </c>
      <c r="K934" s="289" t="s">
        <v>1731</v>
      </c>
      <c r="L934" s="288" t="s">
        <v>2706</v>
      </c>
      <c r="M934" s="288" t="s">
        <v>2707</v>
      </c>
      <c r="N934" s="288" t="s">
        <v>1830</v>
      </c>
      <c r="O934" s="289" t="s">
        <v>1791</v>
      </c>
      <c r="P934" s="292"/>
    </row>
    <row r="935" spans="1:16" hidden="1" x14ac:dyDescent="0.25">
      <c r="A935" s="287" t="s">
        <v>4197</v>
      </c>
      <c r="B935" s="311" t="s">
        <v>4198</v>
      </c>
      <c r="C935" s="305"/>
      <c r="D935" s="288" t="s">
        <v>4199</v>
      </c>
      <c r="E935" s="288"/>
      <c r="F935" s="289"/>
      <c r="G935" s="290">
        <v>46066</v>
      </c>
      <c r="H935" s="291">
        <v>6569.6</v>
      </c>
      <c r="I935" s="291">
        <v>6569.6</v>
      </c>
      <c r="J935" s="291">
        <v>-6569.6</v>
      </c>
      <c r="K935" s="289" t="s">
        <v>1731</v>
      </c>
      <c r="L935" s="288" t="s">
        <v>2706</v>
      </c>
      <c r="M935" s="288" t="s">
        <v>2707</v>
      </c>
      <c r="N935" s="288" t="s">
        <v>1830</v>
      </c>
      <c r="O935" s="289" t="s">
        <v>1791</v>
      </c>
      <c r="P935" s="292"/>
    </row>
    <row r="936" spans="1:16" hidden="1" x14ac:dyDescent="0.25">
      <c r="A936" s="287" t="s">
        <v>4200</v>
      </c>
      <c r="B936" s="311" t="s">
        <v>4201</v>
      </c>
      <c r="C936" s="305"/>
      <c r="D936" s="288" t="s">
        <v>4202</v>
      </c>
      <c r="E936" s="288"/>
      <c r="F936" s="289"/>
      <c r="G936" s="290">
        <v>46066</v>
      </c>
      <c r="H936" s="291">
        <v>716.3</v>
      </c>
      <c r="I936" s="291">
        <v>716.3</v>
      </c>
      <c r="J936" s="291">
        <v>-716.3</v>
      </c>
      <c r="K936" s="289" t="s">
        <v>1731</v>
      </c>
      <c r="L936" s="288" t="s">
        <v>2706</v>
      </c>
      <c r="M936" s="288" t="s">
        <v>2707</v>
      </c>
      <c r="N936" s="288" t="s">
        <v>1830</v>
      </c>
      <c r="O936" s="289" t="s">
        <v>1791</v>
      </c>
      <c r="P936" s="292"/>
    </row>
    <row r="937" spans="1:16" hidden="1" x14ac:dyDescent="0.25">
      <c r="A937" s="287" t="s">
        <v>4203</v>
      </c>
      <c r="B937" s="311" t="s">
        <v>4204</v>
      </c>
      <c r="C937" s="305"/>
      <c r="D937" s="288" t="s">
        <v>4205</v>
      </c>
      <c r="E937" s="288"/>
      <c r="F937" s="289">
        <v>8701556977</v>
      </c>
      <c r="G937" s="290">
        <v>45855</v>
      </c>
      <c r="H937" s="291">
        <v>5613</v>
      </c>
      <c r="I937" s="291">
        <v>5613</v>
      </c>
      <c r="J937" s="291">
        <v>0</v>
      </c>
      <c r="K937" s="289" t="s">
        <v>1731</v>
      </c>
      <c r="L937" s="288" t="s">
        <v>1732</v>
      </c>
      <c r="M937" s="288" t="s">
        <v>1733</v>
      </c>
      <c r="N937" s="288" t="s">
        <v>1734</v>
      </c>
      <c r="O937" s="289" t="s">
        <v>3700</v>
      </c>
      <c r="P937" s="292"/>
    </row>
    <row r="938" spans="1:16" hidden="1" x14ac:dyDescent="0.25">
      <c r="A938" s="287" t="s">
        <v>4206</v>
      </c>
      <c r="B938" s="311" t="s">
        <v>4207</v>
      </c>
      <c r="C938" s="305"/>
      <c r="D938" s="288" t="s">
        <v>4208</v>
      </c>
      <c r="E938" s="288"/>
      <c r="F938" s="289"/>
      <c r="G938" s="290">
        <v>46066</v>
      </c>
      <c r="H938" s="291">
        <v>3465.36</v>
      </c>
      <c r="I938" s="291">
        <v>3465.36</v>
      </c>
      <c r="J938" s="291">
        <v>-3465.36</v>
      </c>
      <c r="K938" s="289" t="s">
        <v>1731</v>
      </c>
      <c r="L938" s="288" t="s">
        <v>2706</v>
      </c>
      <c r="M938" s="288" t="s">
        <v>2707</v>
      </c>
      <c r="N938" s="288" t="s">
        <v>1830</v>
      </c>
      <c r="O938" s="289" t="s">
        <v>1791</v>
      </c>
      <c r="P938" s="292"/>
    </row>
    <row r="939" spans="1:16" hidden="1" x14ac:dyDescent="0.25">
      <c r="A939" s="287" t="s">
        <v>4209</v>
      </c>
      <c r="B939" s="311" t="s">
        <v>4210</v>
      </c>
      <c r="C939" s="305"/>
      <c r="D939" s="288" t="s">
        <v>4211</v>
      </c>
      <c r="E939" s="288"/>
      <c r="F939" s="289"/>
      <c r="G939" s="290">
        <v>46066</v>
      </c>
      <c r="H939" s="291">
        <v>9057.49</v>
      </c>
      <c r="I939" s="291">
        <v>9057.49</v>
      </c>
      <c r="J939" s="291">
        <v>-9057.49</v>
      </c>
      <c r="K939" s="289" t="s">
        <v>1731</v>
      </c>
      <c r="L939" s="288" t="s">
        <v>2706</v>
      </c>
      <c r="M939" s="288" t="s">
        <v>2707</v>
      </c>
      <c r="N939" s="288" t="s">
        <v>1830</v>
      </c>
      <c r="O939" s="289" t="s">
        <v>1791</v>
      </c>
      <c r="P939" s="292"/>
    </row>
    <row r="940" spans="1:16" hidden="1" x14ac:dyDescent="0.25">
      <c r="A940" s="287" t="s">
        <v>4212</v>
      </c>
      <c r="B940" s="311" t="s">
        <v>4213</v>
      </c>
      <c r="C940" s="305"/>
      <c r="D940" s="288" t="s">
        <v>4214</v>
      </c>
      <c r="E940" s="288"/>
      <c r="F940" s="289"/>
      <c r="G940" s="290">
        <v>46066</v>
      </c>
      <c r="H940" s="291">
        <v>3988.44</v>
      </c>
      <c r="I940" s="291">
        <v>3988.44</v>
      </c>
      <c r="J940" s="291">
        <v>-3988.44</v>
      </c>
      <c r="K940" s="289" t="s">
        <v>1731</v>
      </c>
      <c r="L940" s="288" t="s">
        <v>2706</v>
      </c>
      <c r="M940" s="288" t="s">
        <v>2707</v>
      </c>
      <c r="N940" s="288" t="s">
        <v>1830</v>
      </c>
      <c r="O940" s="289" t="s">
        <v>1791</v>
      </c>
      <c r="P940" s="292"/>
    </row>
    <row r="941" spans="1:16" hidden="1" x14ac:dyDescent="0.25">
      <c r="A941" s="287" t="s">
        <v>4215</v>
      </c>
      <c r="B941" s="311" t="s">
        <v>4216</v>
      </c>
      <c r="C941" s="305"/>
      <c r="D941" s="288" t="s">
        <v>4217</v>
      </c>
      <c r="E941" s="288"/>
      <c r="F941" s="289"/>
      <c r="G941" s="290">
        <v>46066</v>
      </c>
      <c r="H941" s="291">
        <v>10972</v>
      </c>
      <c r="I941" s="291">
        <v>10972</v>
      </c>
      <c r="J941" s="291">
        <v>-10972</v>
      </c>
      <c r="K941" s="289" t="s">
        <v>1731</v>
      </c>
      <c r="L941" s="288" t="s">
        <v>2706</v>
      </c>
      <c r="M941" s="288" t="s">
        <v>2707</v>
      </c>
      <c r="N941" s="288" t="s">
        <v>1830</v>
      </c>
      <c r="O941" s="289" t="s">
        <v>1791</v>
      </c>
      <c r="P941" s="292"/>
    </row>
    <row r="942" spans="1:16" hidden="1" x14ac:dyDescent="0.25">
      <c r="A942" s="287" t="s">
        <v>4218</v>
      </c>
      <c r="B942" s="311" t="s">
        <v>4219</v>
      </c>
      <c r="C942" s="305"/>
      <c r="D942" s="288" t="s">
        <v>4220</v>
      </c>
      <c r="E942" s="288"/>
      <c r="F942" s="289"/>
      <c r="G942" s="290">
        <v>46066</v>
      </c>
      <c r="H942" s="291">
        <v>1624.04</v>
      </c>
      <c r="I942" s="291">
        <v>1624.04</v>
      </c>
      <c r="J942" s="291">
        <v>-1624.04</v>
      </c>
      <c r="K942" s="289" t="s">
        <v>1731</v>
      </c>
      <c r="L942" s="288" t="s">
        <v>2706</v>
      </c>
      <c r="M942" s="288" t="s">
        <v>2707</v>
      </c>
      <c r="N942" s="288" t="s">
        <v>1830</v>
      </c>
      <c r="O942" s="289" t="s">
        <v>1791</v>
      </c>
      <c r="P942" s="292"/>
    </row>
    <row r="943" spans="1:16" hidden="1" x14ac:dyDescent="0.25">
      <c r="A943" s="287" t="s">
        <v>4221</v>
      </c>
      <c r="B943" s="311" t="s">
        <v>4222</v>
      </c>
      <c r="C943" s="305"/>
      <c r="D943" s="288" t="s">
        <v>4223</v>
      </c>
      <c r="E943" s="288"/>
      <c r="F943" s="289"/>
      <c r="G943" s="290">
        <v>46066</v>
      </c>
      <c r="H943" s="291">
        <v>4284.32</v>
      </c>
      <c r="I943" s="291">
        <v>4284.32</v>
      </c>
      <c r="J943" s="291">
        <v>-4284.32</v>
      </c>
      <c r="K943" s="289" t="s">
        <v>1731</v>
      </c>
      <c r="L943" s="288" t="s">
        <v>2706</v>
      </c>
      <c r="M943" s="288" t="s">
        <v>2707</v>
      </c>
      <c r="N943" s="288" t="s">
        <v>1830</v>
      </c>
      <c r="O943" s="289" t="s">
        <v>1791</v>
      </c>
      <c r="P943" s="292"/>
    </row>
    <row r="944" spans="1:16" hidden="1" x14ac:dyDescent="0.25">
      <c r="A944" s="287" t="s">
        <v>4224</v>
      </c>
      <c r="B944" s="311" t="s">
        <v>4225</v>
      </c>
      <c r="C944" s="305"/>
      <c r="D944" s="288" t="s">
        <v>4226</v>
      </c>
      <c r="E944" s="288"/>
      <c r="F944" s="289"/>
      <c r="G944" s="290">
        <v>46066</v>
      </c>
      <c r="H944" s="291">
        <v>75069.52</v>
      </c>
      <c r="I944" s="291">
        <v>75069.52</v>
      </c>
      <c r="J944" s="291">
        <v>-75069.52</v>
      </c>
      <c r="K944" s="289" t="s">
        <v>1731</v>
      </c>
      <c r="L944" s="288" t="s">
        <v>2706</v>
      </c>
      <c r="M944" s="288" t="s">
        <v>2707</v>
      </c>
      <c r="N944" s="288" t="s">
        <v>1830</v>
      </c>
      <c r="O944" s="289" t="s">
        <v>1791</v>
      </c>
      <c r="P944" s="292"/>
    </row>
    <row r="945" spans="1:16" hidden="1" x14ac:dyDescent="0.25">
      <c r="A945" s="287" t="s">
        <v>4227</v>
      </c>
      <c r="B945" s="311" t="s">
        <v>4228</v>
      </c>
      <c r="C945" s="305"/>
      <c r="D945" s="288" t="s">
        <v>4229</v>
      </c>
      <c r="E945" s="288"/>
      <c r="F945" s="289"/>
      <c r="G945" s="290">
        <v>46066</v>
      </c>
      <c r="H945" s="291">
        <v>69571.399999999994</v>
      </c>
      <c r="I945" s="291">
        <v>69571.399999999994</v>
      </c>
      <c r="J945" s="291">
        <v>-69571.399999999994</v>
      </c>
      <c r="K945" s="289" t="s">
        <v>1731</v>
      </c>
      <c r="L945" s="288" t="s">
        <v>2706</v>
      </c>
      <c r="M945" s="288" t="s">
        <v>2707</v>
      </c>
      <c r="N945" s="288" t="s">
        <v>1830</v>
      </c>
      <c r="O945" s="289" t="s">
        <v>1791</v>
      </c>
      <c r="P945" s="292"/>
    </row>
    <row r="946" spans="1:16" hidden="1" x14ac:dyDescent="0.25">
      <c r="A946" s="287" t="s">
        <v>4230</v>
      </c>
      <c r="B946" s="311" t="s">
        <v>4231</v>
      </c>
      <c r="C946" s="305"/>
      <c r="D946" s="288" t="s">
        <v>4232</v>
      </c>
      <c r="E946" s="288"/>
      <c r="F946" s="289"/>
      <c r="G946" s="290">
        <v>46002</v>
      </c>
      <c r="H946" s="291">
        <v>22708.49</v>
      </c>
      <c r="I946" s="291">
        <v>22708.49</v>
      </c>
      <c r="J946" s="291">
        <v>-22708.49</v>
      </c>
      <c r="K946" s="289" t="s">
        <v>1731</v>
      </c>
      <c r="L946" s="288" t="s">
        <v>2706</v>
      </c>
      <c r="M946" s="288" t="s">
        <v>2707</v>
      </c>
      <c r="N946" s="288" t="s">
        <v>1830</v>
      </c>
      <c r="O946" s="289" t="s">
        <v>1791</v>
      </c>
      <c r="P946" s="292"/>
    </row>
    <row r="947" spans="1:16" hidden="1" x14ac:dyDescent="0.25">
      <c r="A947" s="287" t="s">
        <v>4233</v>
      </c>
      <c r="B947" s="311" t="s">
        <v>4234</v>
      </c>
      <c r="C947" s="305"/>
      <c r="D947" s="288" t="s">
        <v>4235</v>
      </c>
      <c r="E947" s="288"/>
      <c r="F947" s="289"/>
      <c r="G947" s="290">
        <v>46066</v>
      </c>
      <c r="H947" s="291">
        <v>2215.91</v>
      </c>
      <c r="I947" s="291">
        <v>2215.91</v>
      </c>
      <c r="J947" s="291">
        <v>-2215.91</v>
      </c>
      <c r="K947" s="289" t="s">
        <v>1731</v>
      </c>
      <c r="L947" s="288" t="s">
        <v>2706</v>
      </c>
      <c r="M947" s="288" t="s">
        <v>2707</v>
      </c>
      <c r="N947" s="288" t="s">
        <v>1830</v>
      </c>
      <c r="O947" s="289" t="s">
        <v>1791</v>
      </c>
      <c r="P947" s="292"/>
    </row>
    <row r="948" spans="1:16" hidden="1" x14ac:dyDescent="0.25">
      <c r="A948" s="287" t="s">
        <v>4236</v>
      </c>
      <c r="B948" s="311" t="s">
        <v>4237</v>
      </c>
      <c r="C948" s="305"/>
      <c r="D948" s="288" t="s">
        <v>4238</v>
      </c>
      <c r="E948" s="288"/>
      <c r="F948" s="289"/>
      <c r="G948" s="290">
        <v>46066</v>
      </c>
      <c r="H948" s="291">
        <v>10185.5</v>
      </c>
      <c r="I948" s="291">
        <v>10185.5</v>
      </c>
      <c r="J948" s="291">
        <v>0</v>
      </c>
      <c r="K948" s="289" t="s">
        <v>1731</v>
      </c>
      <c r="L948" s="288" t="s">
        <v>2706</v>
      </c>
      <c r="M948" s="288" t="s">
        <v>2707</v>
      </c>
      <c r="N948" s="288" t="s">
        <v>1830</v>
      </c>
      <c r="O948" s="289" t="s">
        <v>1791</v>
      </c>
      <c r="P948" s="292"/>
    </row>
    <row r="949" spans="1:16" hidden="1" x14ac:dyDescent="0.25">
      <c r="A949" s="287" t="s">
        <v>4239</v>
      </c>
      <c r="B949" s="311" t="s">
        <v>4240</v>
      </c>
      <c r="C949" s="305"/>
      <c r="D949" s="288" t="s">
        <v>4241</v>
      </c>
      <c r="E949" s="288"/>
      <c r="F949" s="289"/>
      <c r="G949" s="290">
        <v>46066</v>
      </c>
      <c r="H949" s="291">
        <v>2129.2399999999998</v>
      </c>
      <c r="I949" s="291">
        <v>2129.2399999999998</v>
      </c>
      <c r="J949" s="291">
        <v>-2129.2399999999998</v>
      </c>
      <c r="K949" s="289" t="s">
        <v>1731</v>
      </c>
      <c r="L949" s="288" t="s">
        <v>2706</v>
      </c>
      <c r="M949" s="288" t="s">
        <v>2707</v>
      </c>
      <c r="N949" s="288" t="s">
        <v>1830</v>
      </c>
      <c r="O949" s="289" t="s">
        <v>1791</v>
      </c>
      <c r="P949" s="292"/>
    </row>
    <row r="950" spans="1:16" hidden="1" x14ac:dyDescent="0.25">
      <c r="A950" s="287" t="s">
        <v>4242</v>
      </c>
      <c r="B950" s="311" t="s">
        <v>4243</v>
      </c>
      <c r="C950" s="305"/>
      <c r="D950" s="288" t="s">
        <v>4244</v>
      </c>
      <c r="E950" s="288"/>
      <c r="F950" s="289"/>
      <c r="G950" s="290">
        <v>46066</v>
      </c>
      <c r="H950" s="291">
        <v>600403.63</v>
      </c>
      <c r="I950" s="291">
        <v>600403.63</v>
      </c>
      <c r="J950" s="291">
        <v>0</v>
      </c>
      <c r="K950" s="289" t="s">
        <v>1731</v>
      </c>
      <c r="L950" s="288" t="s">
        <v>2706</v>
      </c>
      <c r="M950" s="288" t="s">
        <v>2707</v>
      </c>
      <c r="N950" s="288" t="s">
        <v>1830</v>
      </c>
      <c r="O950" s="289" t="s">
        <v>1791</v>
      </c>
      <c r="P950" s="292"/>
    </row>
    <row r="951" spans="1:16" hidden="1" x14ac:dyDescent="0.25">
      <c r="A951" s="287" t="s">
        <v>4245</v>
      </c>
      <c r="B951" s="311" t="s">
        <v>4246</v>
      </c>
      <c r="C951" s="305"/>
      <c r="D951" s="288" t="s">
        <v>4247</v>
      </c>
      <c r="E951" s="288"/>
      <c r="F951" s="289"/>
      <c r="G951" s="290">
        <v>46066</v>
      </c>
      <c r="H951" s="291">
        <v>25265.200000000001</v>
      </c>
      <c r="I951" s="291">
        <v>25265.200000000001</v>
      </c>
      <c r="J951" s="291">
        <v>-25265.200000000001</v>
      </c>
      <c r="K951" s="289" t="s">
        <v>1731</v>
      </c>
      <c r="L951" s="288" t="s">
        <v>2706</v>
      </c>
      <c r="M951" s="288" t="s">
        <v>2707</v>
      </c>
      <c r="N951" s="288" t="s">
        <v>1830</v>
      </c>
      <c r="O951" s="289" t="s">
        <v>1791</v>
      </c>
      <c r="P951" s="292"/>
    </row>
    <row r="952" spans="1:16" hidden="1" x14ac:dyDescent="0.25">
      <c r="A952" s="287" t="s">
        <v>4248</v>
      </c>
      <c r="B952" s="311" t="s">
        <v>4249</v>
      </c>
      <c r="C952" s="305"/>
      <c r="D952" s="288" t="s">
        <v>4250</v>
      </c>
      <c r="E952" s="288"/>
      <c r="F952" s="289"/>
      <c r="G952" s="290">
        <v>46066</v>
      </c>
      <c r="H952" s="291">
        <v>39230</v>
      </c>
      <c r="I952" s="291">
        <v>39230</v>
      </c>
      <c r="J952" s="291">
        <v>-39230</v>
      </c>
      <c r="K952" s="289" t="s">
        <v>1731</v>
      </c>
      <c r="L952" s="288" t="s">
        <v>2706</v>
      </c>
      <c r="M952" s="288" t="s">
        <v>2707</v>
      </c>
      <c r="N952" s="288" t="s">
        <v>1830</v>
      </c>
      <c r="O952" s="289" t="s">
        <v>1791</v>
      </c>
      <c r="P952" s="292"/>
    </row>
    <row r="953" spans="1:16" hidden="1" x14ac:dyDescent="0.25">
      <c r="A953" s="287" t="s">
        <v>4251</v>
      </c>
      <c r="B953" s="311" t="s">
        <v>4252</v>
      </c>
      <c r="C953" s="305"/>
      <c r="D953" s="288" t="s">
        <v>4253</v>
      </c>
      <c r="E953" s="288"/>
      <c r="F953" s="289"/>
      <c r="G953" s="290">
        <v>46066</v>
      </c>
      <c r="H953" s="291">
        <v>121.8</v>
      </c>
      <c r="I953" s="291">
        <v>121.8</v>
      </c>
      <c r="J953" s="291">
        <v>-121.8</v>
      </c>
      <c r="K953" s="289" t="s">
        <v>1731</v>
      </c>
      <c r="L953" s="288" t="s">
        <v>2706</v>
      </c>
      <c r="M953" s="288" t="s">
        <v>2707</v>
      </c>
      <c r="N953" s="288" t="s">
        <v>1830</v>
      </c>
      <c r="O953" s="289" t="s">
        <v>1791</v>
      </c>
      <c r="P953" s="292"/>
    </row>
    <row r="954" spans="1:16" hidden="1" x14ac:dyDescent="0.25">
      <c r="A954" s="287" t="s">
        <v>4254</v>
      </c>
      <c r="B954" s="311" t="s">
        <v>4255</v>
      </c>
      <c r="C954" s="305"/>
      <c r="D954" s="288" t="s">
        <v>4256</v>
      </c>
      <c r="E954" s="288"/>
      <c r="F954" s="289"/>
      <c r="G954" s="290">
        <v>46066</v>
      </c>
      <c r="H954" s="291">
        <v>6811.15</v>
      </c>
      <c r="I954" s="291">
        <v>6811.15</v>
      </c>
      <c r="J954" s="291">
        <v>-6811.15</v>
      </c>
      <c r="K954" s="289" t="s">
        <v>1731</v>
      </c>
      <c r="L954" s="288" t="s">
        <v>2706</v>
      </c>
      <c r="M954" s="288" t="s">
        <v>2707</v>
      </c>
      <c r="N954" s="288" t="s">
        <v>1830</v>
      </c>
      <c r="O954" s="289" t="s">
        <v>1791</v>
      </c>
      <c r="P954" s="292"/>
    </row>
    <row r="955" spans="1:16" hidden="1" x14ac:dyDescent="0.25">
      <c r="A955" s="287" t="s">
        <v>4257</v>
      </c>
      <c r="B955" s="311" t="s">
        <v>4258</v>
      </c>
      <c r="C955" s="305"/>
      <c r="D955" s="288" t="s">
        <v>4259</v>
      </c>
      <c r="E955" s="288"/>
      <c r="F955" s="289"/>
      <c r="G955" s="290">
        <v>46066</v>
      </c>
      <c r="H955" s="291">
        <v>18830.400000000001</v>
      </c>
      <c r="I955" s="291">
        <v>18830.400000000001</v>
      </c>
      <c r="J955" s="291">
        <v>-18830.400000000001</v>
      </c>
      <c r="K955" s="289" t="s">
        <v>1731</v>
      </c>
      <c r="L955" s="288" t="s">
        <v>2706</v>
      </c>
      <c r="M955" s="288" t="s">
        <v>2707</v>
      </c>
      <c r="N955" s="288" t="s">
        <v>1830</v>
      </c>
      <c r="O955" s="289" t="s">
        <v>1791</v>
      </c>
      <c r="P955" s="292"/>
    </row>
    <row r="956" spans="1:16" hidden="1" x14ac:dyDescent="0.25">
      <c r="A956" s="287" t="s">
        <v>4260</v>
      </c>
      <c r="B956" s="311" t="s">
        <v>4261</v>
      </c>
      <c r="C956" s="305"/>
      <c r="D956" s="288" t="s">
        <v>4262</v>
      </c>
      <c r="E956" s="288"/>
      <c r="F956" s="289"/>
      <c r="G956" s="290">
        <v>46066</v>
      </c>
      <c r="H956" s="291">
        <v>37605.599999999999</v>
      </c>
      <c r="I956" s="291">
        <v>37605.599999999999</v>
      </c>
      <c r="J956" s="291">
        <v>0</v>
      </c>
      <c r="K956" s="289" t="s">
        <v>1731</v>
      </c>
      <c r="L956" s="288" t="s">
        <v>2706</v>
      </c>
      <c r="M956" s="288" t="s">
        <v>2707</v>
      </c>
      <c r="N956" s="288" t="s">
        <v>1830</v>
      </c>
      <c r="O956" s="289" t="s">
        <v>1791</v>
      </c>
      <c r="P956" s="292"/>
    </row>
    <row r="957" spans="1:16" hidden="1" x14ac:dyDescent="0.25">
      <c r="A957" s="287" t="s">
        <v>4263</v>
      </c>
      <c r="B957" s="311" t="s">
        <v>4264</v>
      </c>
      <c r="C957" s="305"/>
      <c r="D957" s="288" t="s">
        <v>4265</v>
      </c>
      <c r="E957" s="288"/>
      <c r="F957" s="289"/>
      <c r="G957" s="290">
        <v>46066</v>
      </c>
      <c r="H957" s="291">
        <v>18829.400000000001</v>
      </c>
      <c r="I957" s="291">
        <v>18829.400000000001</v>
      </c>
      <c r="J957" s="291">
        <v>-18829.400000000001</v>
      </c>
      <c r="K957" s="289" t="s">
        <v>1731</v>
      </c>
      <c r="L957" s="288" t="s">
        <v>2706</v>
      </c>
      <c r="M957" s="288" t="s">
        <v>2707</v>
      </c>
      <c r="N957" s="288" t="s">
        <v>1830</v>
      </c>
      <c r="O957" s="289" t="s">
        <v>1791</v>
      </c>
      <c r="P957" s="292"/>
    </row>
    <row r="958" spans="1:16" hidden="1" x14ac:dyDescent="0.25">
      <c r="A958" s="287" t="s">
        <v>4266</v>
      </c>
      <c r="B958" s="311" t="s">
        <v>4267</v>
      </c>
      <c r="C958" s="305"/>
      <c r="D958" s="288" t="s">
        <v>4268</v>
      </c>
      <c r="E958" s="288"/>
      <c r="F958" s="289"/>
      <c r="G958" s="290">
        <v>46066</v>
      </c>
      <c r="H958" s="291">
        <v>69140.34</v>
      </c>
      <c r="I958" s="291">
        <v>69140.34</v>
      </c>
      <c r="J958" s="291">
        <v>-69140.34</v>
      </c>
      <c r="K958" s="289" t="s">
        <v>1731</v>
      </c>
      <c r="L958" s="288" t="s">
        <v>2706</v>
      </c>
      <c r="M958" s="288" t="s">
        <v>2707</v>
      </c>
      <c r="N958" s="288" t="s">
        <v>1830</v>
      </c>
      <c r="O958" s="289" t="s">
        <v>1791</v>
      </c>
      <c r="P958" s="292"/>
    </row>
    <row r="959" spans="1:16" hidden="1" x14ac:dyDescent="0.25">
      <c r="A959" s="287" t="s">
        <v>4269</v>
      </c>
      <c r="B959" s="311" t="s">
        <v>4270</v>
      </c>
      <c r="C959" s="305"/>
      <c r="D959" s="288" t="s">
        <v>4271</v>
      </c>
      <c r="E959" s="288"/>
      <c r="F959" s="289"/>
      <c r="G959" s="290">
        <v>46066</v>
      </c>
      <c r="H959" s="291">
        <v>52777.87</v>
      </c>
      <c r="I959" s="291">
        <v>52777.87</v>
      </c>
      <c r="J959" s="291">
        <v>0</v>
      </c>
      <c r="K959" s="289" t="s">
        <v>1731</v>
      </c>
      <c r="L959" s="288" t="s">
        <v>2706</v>
      </c>
      <c r="M959" s="288" t="s">
        <v>2707</v>
      </c>
      <c r="N959" s="288" t="s">
        <v>1830</v>
      </c>
      <c r="O959" s="289" t="s">
        <v>1791</v>
      </c>
      <c r="P959" s="292"/>
    </row>
    <row r="960" spans="1:16" hidden="1" x14ac:dyDescent="0.25">
      <c r="A960" s="287" t="s">
        <v>4272</v>
      </c>
      <c r="B960" s="311" t="s">
        <v>4273</v>
      </c>
      <c r="C960" s="305"/>
      <c r="D960" s="288" t="s">
        <v>4274</v>
      </c>
      <c r="E960" s="288"/>
      <c r="F960" s="289"/>
      <c r="G960" s="290">
        <v>46066</v>
      </c>
      <c r="H960" s="291">
        <v>108077.69</v>
      </c>
      <c r="I960" s="291">
        <v>108077.69</v>
      </c>
      <c r="J960" s="291">
        <v>-108077.69</v>
      </c>
      <c r="K960" s="289" t="s">
        <v>1731</v>
      </c>
      <c r="L960" s="288" t="s">
        <v>2706</v>
      </c>
      <c r="M960" s="288" t="s">
        <v>2707</v>
      </c>
      <c r="N960" s="288" t="s">
        <v>1830</v>
      </c>
      <c r="O960" s="289" t="s">
        <v>1791</v>
      </c>
      <c r="P960" s="292"/>
    </row>
    <row r="961" spans="1:16" hidden="1" x14ac:dyDescent="0.25">
      <c r="A961" s="287" t="s">
        <v>4275</v>
      </c>
      <c r="B961" s="311" t="s">
        <v>4276</v>
      </c>
      <c r="C961" s="305"/>
      <c r="D961" s="288" t="s">
        <v>4277</v>
      </c>
      <c r="E961" s="288"/>
      <c r="F961" s="289"/>
      <c r="G961" s="290">
        <v>46066</v>
      </c>
      <c r="H961" s="291">
        <v>4703.4399999999996</v>
      </c>
      <c r="I961" s="291">
        <v>4703.4399999999996</v>
      </c>
      <c r="J961" s="291">
        <v>-4703.4399999999996</v>
      </c>
      <c r="K961" s="289" t="s">
        <v>1731</v>
      </c>
      <c r="L961" s="288" t="s">
        <v>2706</v>
      </c>
      <c r="M961" s="288" t="s">
        <v>2707</v>
      </c>
      <c r="N961" s="288" t="s">
        <v>1830</v>
      </c>
      <c r="O961" s="289" t="s">
        <v>1791</v>
      </c>
      <c r="P961" s="292"/>
    </row>
    <row r="962" spans="1:16" hidden="1" x14ac:dyDescent="0.25">
      <c r="A962" s="287" t="s">
        <v>4278</v>
      </c>
      <c r="B962" s="311" t="s">
        <v>4279</v>
      </c>
      <c r="C962" s="305"/>
      <c r="D962" s="288" t="s">
        <v>4280</v>
      </c>
      <c r="E962" s="288"/>
      <c r="F962" s="289"/>
      <c r="G962" s="290">
        <v>46066</v>
      </c>
      <c r="H962" s="291">
        <v>5571.34</v>
      </c>
      <c r="I962" s="291">
        <v>5571.34</v>
      </c>
      <c r="J962" s="291">
        <v>-5571.34</v>
      </c>
      <c r="K962" s="289" t="s">
        <v>1731</v>
      </c>
      <c r="L962" s="288" t="s">
        <v>2706</v>
      </c>
      <c r="M962" s="288" t="s">
        <v>2707</v>
      </c>
      <c r="N962" s="288" t="s">
        <v>1830</v>
      </c>
      <c r="O962" s="289" t="s">
        <v>1791</v>
      </c>
      <c r="P962" s="292"/>
    </row>
    <row r="963" spans="1:16" hidden="1" x14ac:dyDescent="0.25">
      <c r="A963" s="287" t="s">
        <v>4281</v>
      </c>
      <c r="B963" s="311" t="s">
        <v>4282</v>
      </c>
      <c r="C963" s="305"/>
      <c r="D963" s="288" t="s">
        <v>4283</v>
      </c>
      <c r="E963" s="288"/>
      <c r="F963" s="289"/>
      <c r="G963" s="290">
        <v>46002</v>
      </c>
      <c r="H963" s="291">
        <v>18584.93</v>
      </c>
      <c r="I963" s="291">
        <v>18584.93</v>
      </c>
      <c r="J963" s="291">
        <v>0</v>
      </c>
      <c r="K963" s="289" t="s">
        <v>1731</v>
      </c>
      <c r="L963" s="288" t="s">
        <v>2706</v>
      </c>
      <c r="M963" s="288" t="s">
        <v>2707</v>
      </c>
      <c r="N963" s="288" t="s">
        <v>1830</v>
      </c>
      <c r="O963" s="289" t="s">
        <v>1791</v>
      </c>
      <c r="P963" s="292"/>
    </row>
    <row r="964" spans="1:16" hidden="1" x14ac:dyDescent="0.25">
      <c r="A964" s="287" t="s">
        <v>4284</v>
      </c>
      <c r="B964" s="311" t="s">
        <v>4285</v>
      </c>
      <c r="C964" s="305"/>
      <c r="D964" s="288" t="s">
        <v>4286</v>
      </c>
      <c r="E964" s="288"/>
      <c r="F964" s="289"/>
      <c r="G964" s="290">
        <v>46066</v>
      </c>
      <c r="H964" s="291">
        <v>6317.44</v>
      </c>
      <c r="I964" s="291">
        <v>6317.44</v>
      </c>
      <c r="J964" s="291">
        <v>-6317.44</v>
      </c>
      <c r="K964" s="289" t="s">
        <v>1731</v>
      </c>
      <c r="L964" s="288" t="s">
        <v>2706</v>
      </c>
      <c r="M964" s="288" t="s">
        <v>2707</v>
      </c>
      <c r="N964" s="288" t="s">
        <v>1830</v>
      </c>
      <c r="O964" s="289" t="s">
        <v>1791</v>
      </c>
      <c r="P964" s="292"/>
    </row>
    <row r="965" spans="1:16" hidden="1" x14ac:dyDescent="0.25">
      <c r="A965" s="287" t="s">
        <v>4287</v>
      </c>
      <c r="B965" s="311" t="s">
        <v>4288</v>
      </c>
      <c r="C965" s="305"/>
      <c r="D965" s="288" t="s">
        <v>4289</v>
      </c>
      <c r="E965" s="288"/>
      <c r="F965" s="289"/>
      <c r="G965" s="290">
        <v>46066</v>
      </c>
      <c r="H965" s="291">
        <v>20042.43</v>
      </c>
      <c r="I965" s="291">
        <v>20042.43</v>
      </c>
      <c r="J965" s="291">
        <v>-20042.43</v>
      </c>
      <c r="K965" s="289" t="s">
        <v>1731</v>
      </c>
      <c r="L965" s="288" t="s">
        <v>2706</v>
      </c>
      <c r="M965" s="288" t="s">
        <v>2707</v>
      </c>
      <c r="N965" s="288" t="s">
        <v>1830</v>
      </c>
      <c r="O965" s="289" t="s">
        <v>1791</v>
      </c>
      <c r="P965" s="292"/>
    </row>
    <row r="966" spans="1:16" hidden="1" x14ac:dyDescent="0.25">
      <c r="A966" s="287" t="s">
        <v>4290</v>
      </c>
      <c r="B966" s="311" t="s">
        <v>4291</v>
      </c>
      <c r="C966" s="305"/>
      <c r="D966" s="288" t="s">
        <v>4292</v>
      </c>
      <c r="E966" s="288"/>
      <c r="F966" s="289"/>
      <c r="G966" s="290">
        <v>46066</v>
      </c>
      <c r="H966" s="291">
        <v>2478.61</v>
      </c>
      <c r="I966" s="291">
        <v>2478.61</v>
      </c>
      <c r="J966" s="291">
        <v>-2478.61</v>
      </c>
      <c r="K966" s="289" t="s">
        <v>1731</v>
      </c>
      <c r="L966" s="288" t="s">
        <v>2706</v>
      </c>
      <c r="M966" s="288" t="s">
        <v>2707</v>
      </c>
      <c r="N966" s="288" t="s">
        <v>1830</v>
      </c>
      <c r="O966" s="289" t="s">
        <v>1791</v>
      </c>
      <c r="P966" s="292"/>
    </row>
    <row r="967" spans="1:16" hidden="1" x14ac:dyDescent="0.25">
      <c r="A967" s="287" t="s">
        <v>4293</v>
      </c>
      <c r="B967" s="311" t="s">
        <v>4294</v>
      </c>
      <c r="C967" s="305"/>
      <c r="D967" s="288" t="s">
        <v>4295</v>
      </c>
      <c r="E967" s="288"/>
      <c r="F967" s="289"/>
      <c r="G967" s="290">
        <v>46066</v>
      </c>
      <c r="H967" s="291">
        <v>4684.07</v>
      </c>
      <c r="I967" s="291">
        <v>4684.07</v>
      </c>
      <c r="J967" s="291">
        <v>-4684.07</v>
      </c>
      <c r="K967" s="289" t="s">
        <v>1731</v>
      </c>
      <c r="L967" s="288" t="s">
        <v>2706</v>
      </c>
      <c r="M967" s="288" t="s">
        <v>2707</v>
      </c>
      <c r="N967" s="288" t="s">
        <v>1830</v>
      </c>
      <c r="O967" s="289" t="s">
        <v>1791</v>
      </c>
      <c r="P967" s="292"/>
    </row>
    <row r="968" spans="1:16" hidden="1" x14ac:dyDescent="0.25">
      <c r="A968" s="287" t="s">
        <v>4296</v>
      </c>
      <c r="B968" s="311" t="s">
        <v>4297</v>
      </c>
      <c r="C968" s="305"/>
      <c r="D968" s="288" t="s">
        <v>4298</v>
      </c>
      <c r="E968" s="288"/>
      <c r="F968" s="289"/>
      <c r="G968" s="290">
        <v>46066</v>
      </c>
      <c r="H968" s="291">
        <v>12133.36</v>
      </c>
      <c r="I968" s="291">
        <v>12133.36</v>
      </c>
      <c r="J968" s="291">
        <v>-12133.36</v>
      </c>
      <c r="K968" s="289" t="s">
        <v>1731</v>
      </c>
      <c r="L968" s="288" t="s">
        <v>2706</v>
      </c>
      <c r="M968" s="288" t="s">
        <v>2707</v>
      </c>
      <c r="N968" s="288" t="s">
        <v>1830</v>
      </c>
      <c r="O968" s="289" t="s">
        <v>1791</v>
      </c>
      <c r="P968" s="292"/>
    </row>
    <row r="969" spans="1:16" hidden="1" x14ac:dyDescent="0.25">
      <c r="A969" s="287" t="s">
        <v>4299</v>
      </c>
      <c r="B969" s="311" t="s">
        <v>4300</v>
      </c>
      <c r="C969" s="305"/>
      <c r="D969" s="288" t="s">
        <v>4301</v>
      </c>
      <c r="E969" s="288"/>
      <c r="F969" s="289"/>
      <c r="G969" s="290">
        <v>46066</v>
      </c>
      <c r="H969" s="291">
        <v>1352.06</v>
      </c>
      <c r="I969" s="291">
        <v>1352.06</v>
      </c>
      <c r="J969" s="291">
        <v>0</v>
      </c>
      <c r="K969" s="289" t="s">
        <v>1731</v>
      </c>
      <c r="L969" s="288" t="s">
        <v>2706</v>
      </c>
      <c r="M969" s="288" t="s">
        <v>2707</v>
      </c>
      <c r="N969" s="288" t="s">
        <v>1830</v>
      </c>
      <c r="O969" s="289" t="s">
        <v>1791</v>
      </c>
      <c r="P969" s="292"/>
    </row>
    <row r="970" spans="1:16" hidden="1" x14ac:dyDescent="0.25">
      <c r="A970" s="287" t="s">
        <v>4302</v>
      </c>
      <c r="B970" s="311" t="s">
        <v>4303</v>
      </c>
      <c r="C970" s="305"/>
      <c r="D970" s="288" t="s">
        <v>4304</v>
      </c>
      <c r="E970" s="288"/>
      <c r="F970" s="289"/>
      <c r="G970" s="290">
        <v>46066</v>
      </c>
      <c r="H970" s="291">
        <v>283.33</v>
      </c>
      <c r="I970" s="291">
        <v>283.33</v>
      </c>
      <c r="J970" s="291">
        <v>0</v>
      </c>
      <c r="K970" s="289" t="s">
        <v>1731</v>
      </c>
      <c r="L970" s="288" t="s">
        <v>2706</v>
      </c>
      <c r="M970" s="288" t="s">
        <v>2707</v>
      </c>
      <c r="N970" s="288" t="s">
        <v>1830</v>
      </c>
      <c r="O970" s="289" t="s">
        <v>1791</v>
      </c>
      <c r="P970" s="292"/>
    </row>
    <row r="971" spans="1:16" hidden="1" x14ac:dyDescent="0.25">
      <c r="A971" s="287" t="s">
        <v>4305</v>
      </c>
      <c r="B971" s="311" t="s">
        <v>4306</v>
      </c>
      <c r="C971" s="305"/>
      <c r="D971" s="288" t="s">
        <v>4307</v>
      </c>
      <c r="E971" s="288"/>
      <c r="F971" s="289"/>
      <c r="G971" s="290">
        <v>46066</v>
      </c>
      <c r="H971" s="291">
        <v>17777.95</v>
      </c>
      <c r="I971" s="291">
        <v>17777.95</v>
      </c>
      <c r="J971" s="291">
        <v>-17777.95</v>
      </c>
      <c r="K971" s="289" t="s">
        <v>1731</v>
      </c>
      <c r="L971" s="288" t="s">
        <v>2706</v>
      </c>
      <c r="M971" s="288" t="s">
        <v>2707</v>
      </c>
      <c r="N971" s="288" t="s">
        <v>1830</v>
      </c>
      <c r="O971" s="289" t="s">
        <v>1791</v>
      </c>
      <c r="P971" s="292"/>
    </row>
    <row r="972" spans="1:16" hidden="1" x14ac:dyDescent="0.25">
      <c r="A972" s="287" t="s">
        <v>4308</v>
      </c>
      <c r="B972" s="311" t="s">
        <v>4309</v>
      </c>
      <c r="C972" s="305"/>
      <c r="D972" s="288" t="s">
        <v>4310</v>
      </c>
      <c r="E972" s="288"/>
      <c r="F972" s="289"/>
      <c r="G972" s="290">
        <v>46066</v>
      </c>
      <c r="H972" s="291">
        <v>3074.02</v>
      </c>
      <c r="I972" s="291">
        <v>3074.02</v>
      </c>
      <c r="J972" s="291">
        <v>-3074.02</v>
      </c>
      <c r="K972" s="289" t="s">
        <v>1731</v>
      </c>
      <c r="L972" s="288" t="s">
        <v>2706</v>
      </c>
      <c r="M972" s="288" t="s">
        <v>2707</v>
      </c>
      <c r="N972" s="288" t="s">
        <v>1830</v>
      </c>
      <c r="O972" s="289" t="s">
        <v>1791</v>
      </c>
      <c r="P972" s="292"/>
    </row>
    <row r="973" spans="1:16" hidden="1" x14ac:dyDescent="0.25">
      <c r="A973" s="287" t="s">
        <v>4311</v>
      </c>
      <c r="B973" s="311" t="s">
        <v>4312</v>
      </c>
      <c r="C973" s="305"/>
      <c r="D973" s="288" t="s">
        <v>4313</v>
      </c>
      <c r="E973" s="288"/>
      <c r="F973" s="289"/>
      <c r="G973" s="290">
        <v>46002</v>
      </c>
      <c r="H973" s="291">
        <v>8989.6299999999992</v>
      </c>
      <c r="I973" s="291">
        <v>8989.6299999999992</v>
      </c>
      <c r="J973" s="291">
        <v>-8989.6299999999992</v>
      </c>
      <c r="K973" s="289" t="s">
        <v>1731</v>
      </c>
      <c r="L973" s="288" t="s">
        <v>2706</v>
      </c>
      <c r="M973" s="288" t="s">
        <v>2707</v>
      </c>
      <c r="N973" s="288" t="s">
        <v>1830</v>
      </c>
      <c r="O973" s="289" t="s">
        <v>1791</v>
      </c>
      <c r="P973" s="292"/>
    </row>
    <row r="974" spans="1:16" hidden="1" x14ac:dyDescent="0.25">
      <c r="A974" s="287" t="s">
        <v>4314</v>
      </c>
      <c r="B974" s="311" t="s">
        <v>4315</v>
      </c>
      <c r="C974" s="305"/>
      <c r="D974" s="288" t="s">
        <v>4316</v>
      </c>
      <c r="E974" s="288"/>
      <c r="F974" s="289"/>
      <c r="G974" s="290">
        <v>46066</v>
      </c>
      <c r="H974" s="291">
        <v>22933.29</v>
      </c>
      <c r="I974" s="291">
        <v>22933.29</v>
      </c>
      <c r="J974" s="291">
        <v>0</v>
      </c>
      <c r="K974" s="289" t="s">
        <v>1731</v>
      </c>
      <c r="L974" s="288" t="s">
        <v>2706</v>
      </c>
      <c r="M974" s="288" t="s">
        <v>2707</v>
      </c>
      <c r="N974" s="288" t="s">
        <v>1830</v>
      </c>
      <c r="O974" s="289" t="s">
        <v>1791</v>
      </c>
      <c r="P974" s="292"/>
    </row>
    <row r="975" spans="1:16" hidden="1" x14ac:dyDescent="0.25">
      <c r="A975" s="287" t="s">
        <v>4317</v>
      </c>
      <c r="B975" s="311" t="s">
        <v>4318</v>
      </c>
      <c r="C975" s="305"/>
      <c r="D975" s="288" t="s">
        <v>4319</v>
      </c>
      <c r="E975" s="288"/>
      <c r="F975" s="289"/>
      <c r="G975" s="290">
        <v>46066</v>
      </c>
      <c r="H975" s="291">
        <v>121296.25</v>
      </c>
      <c r="I975" s="291">
        <v>121296.25</v>
      </c>
      <c r="J975" s="291">
        <v>-121296.25</v>
      </c>
      <c r="K975" s="289" t="s">
        <v>1731</v>
      </c>
      <c r="L975" s="288" t="s">
        <v>2706</v>
      </c>
      <c r="M975" s="288" t="s">
        <v>2707</v>
      </c>
      <c r="N975" s="288" t="s">
        <v>1830</v>
      </c>
      <c r="O975" s="289" t="s">
        <v>1791</v>
      </c>
      <c r="P975" s="292"/>
    </row>
    <row r="976" spans="1:16" hidden="1" x14ac:dyDescent="0.25">
      <c r="A976" s="287" t="s">
        <v>4320</v>
      </c>
      <c r="B976" s="311" t="s">
        <v>4321</v>
      </c>
      <c r="C976" s="305"/>
      <c r="D976" s="288" t="s">
        <v>4322</v>
      </c>
      <c r="E976" s="288"/>
      <c r="F976" s="289"/>
      <c r="G976" s="290">
        <v>46066</v>
      </c>
      <c r="H976" s="291">
        <v>2118.61</v>
      </c>
      <c r="I976" s="291">
        <v>2118.61</v>
      </c>
      <c r="J976" s="291">
        <v>0</v>
      </c>
      <c r="K976" s="289" t="s">
        <v>1731</v>
      </c>
      <c r="L976" s="288" t="s">
        <v>2706</v>
      </c>
      <c r="M976" s="288" t="s">
        <v>2707</v>
      </c>
      <c r="N976" s="288" t="s">
        <v>1830</v>
      </c>
      <c r="O976" s="289" t="s">
        <v>1791</v>
      </c>
      <c r="P976" s="292"/>
    </row>
    <row r="977" spans="1:16" hidden="1" x14ac:dyDescent="0.25">
      <c r="A977" s="287" t="s">
        <v>4323</v>
      </c>
      <c r="B977" s="311" t="s">
        <v>4324</v>
      </c>
      <c r="C977" s="305"/>
      <c r="D977" s="288" t="s">
        <v>4325</v>
      </c>
      <c r="E977" s="288"/>
      <c r="F977" s="289"/>
      <c r="G977" s="290">
        <v>46066</v>
      </c>
      <c r="H977" s="291">
        <v>7753.13</v>
      </c>
      <c r="I977" s="291">
        <v>7753.13</v>
      </c>
      <c r="J977" s="291">
        <v>-7753.13</v>
      </c>
      <c r="K977" s="289" t="s">
        <v>1731</v>
      </c>
      <c r="L977" s="288" t="s">
        <v>2706</v>
      </c>
      <c r="M977" s="288" t="s">
        <v>2707</v>
      </c>
      <c r="N977" s="288" t="s">
        <v>1830</v>
      </c>
      <c r="O977" s="289" t="s">
        <v>1791</v>
      </c>
      <c r="P977" s="292"/>
    </row>
    <row r="978" spans="1:16" hidden="1" x14ac:dyDescent="0.25">
      <c r="A978" s="287" t="s">
        <v>4326</v>
      </c>
      <c r="B978" s="311" t="s">
        <v>4327</v>
      </c>
      <c r="C978" s="305"/>
      <c r="D978" s="288" t="s">
        <v>4328</v>
      </c>
      <c r="E978" s="288"/>
      <c r="F978" s="289"/>
      <c r="G978" s="290">
        <v>45870</v>
      </c>
      <c r="H978" s="291">
        <v>-379158</v>
      </c>
      <c r="I978" s="291">
        <v>-379158</v>
      </c>
      <c r="J978" s="291">
        <v>0</v>
      </c>
      <c r="K978" s="289" t="s">
        <v>1731</v>
      </c>
      <c r="L978" s="288" t="s">
        <v>2706</v>
      </c>
      <c r="M978" s="288" t="s">
        <v>2707</v>
      </c>
      <c r="N978" s="288" t="s">
        <v>1830</v>
      </c>
      <c r="O978" s="289" t="s">
        <v>1791</v>
      </c>
      <c r="P978" s="292"/>
    </row>
    <row r="979" spans="1:16" hidden="1" x14ac:dyDescent="0.25">
      <c r="A979" s="287" t="s">
        <v>4329</v>
      </c>
      <c r="B979" s="311" t="s">
        <v>4330</v>
      </c>
      <c r="C979" s="305"/>
      <c r="D979" s="288" t="s">
        <v>4331</v>
      </c>
      <c r="E979" s="288"/>
      <c r="F979" s="289"/>
      <c r="G979" s="290">
        <v>46066</v>
      </c>
      <c r="H979" s="291">
        <v>353.75</v>
      </c>
      <c r="I979" s="291">
        <v>353.75</v>
      </c>
      <c r="J979" s="291">
        <v>0</v>
      </c>
      <c r="K979" s="289" t="s">
        <v>1731</v>
      </c>
      <c r="L979" s="288" t="s">
        <v>2706</v>
      </c>
      <c r="M979" s="288" t="s">
        <v>2707</v>
      </c>
      <c r="N979" s="288" t="s">
        <v>1830</v>
      </c>
      <c r="O979" s="289" t="s">
        <v>1791</v>
      </c>
      <c r="P979" s="292"/>
    </row>
    <row r="980" spans="1:16" hidden="1" x14ac:dyDescent="0.25">
      <c r="A980" s="287" t="s">
        <v>4332</v>
      </c>
      <c r="B980" s="311" t="s">
        <v>4333</v>
      </c>
      <c r="C980" s="305"/>
      <c r="D980" s="288" t="s">
        <v>4334</v>
      </c>
      <c r="E980" s="288"/>
      <c r="F980" s="289"/>
      <c r="G980" s="290">
        <v>46066</v>
      </c>
      <c r="H980" s="291">
        <v>5613.29</v>
      </c>
      <c r="I980" s="291">
        <v>5613.29</v>
      </c>
      <c r="J980" s="291">
        <v>0</v>
      </c>
      <c r="K980" s="289" t="s">
        <v>1731</v>
      </c>
      <c r="L980" s="288" t="s">
        <v>2706</v>
      </c>
      <c r="M980" s="288" t="s">
        <v>2707</v>
      </c>
      <c r="N980" s="288" t="s">
        <v>1830</v>
      </c>
      <c r="O980" s="289" t="s">
        <v>1791</v>
      </c>
      <c r="P980" s="292"/>
    </row>
    <row r="981" spans="1:16" hidden="1" x14ac:dyDescent="0.25">
      <c r="A981" s="287" t="s">
        <v>4335</v>
      </c>
      <c r="B981" s="311" t="s">
        <v>4336</v>
      </c>
      <c r="C981" s="305"/>
      <c r="D981" s="288" t="s">
        <v>4337</v>
      </c>
      <c r="E981" s="288"/>
      <c r="F981" s="289"/>
      <c r="G981" s="290">
        <v>46066</v>
      </c>
      <c r="H981" s="291">
        <v>4513.28</v>
      </c>
      <c r="I981" s="291">
        <v>4513.28</v>
      </c>
      <c r="J981" s="291">
        <v>0</v>
      </c>
      <c r="K981" s="289" t="s">
        <v>1731</v>
      </c>
      <c r="L981" s="288" t="s">
        <v>2706</v>
      </c>
      <c r="M981" s="288" t="s">
        <v>2707</v>
      </c>
      <c r="N981" s="288" t="s">
        <v>1830</v>
      </c>
      <c r="O981" s="289" t="s">
        <v>1791</v>
      </c>
      <c r="P981" s="292"/>
    </row>
    <row r="982" spans="1:16" hidden="1" x14ac:dyDescent="0.25">
      <c r="A982" s="287" t="s">
        <v>4338</v>
      </c>
      <c r="B982" s="311" t="s">
        <v>4339</v>
      </c>
      <c r="C982" s="305"/>
      <c r="D982" s="288" t="s">
        <v>4340</v>
      </c>
      <c r="E982" s="288"/>
      <c r="F982" s="289"/>
      <c r="G982" s="290">
        <v>46066</v>
      </c>
      <c r="H982" s="291">
        <v>283.33</v>
      </c>
      <c r="I982" s="291">
        <v>283.33</v>
      </c>
      <c r="J982" s="291">
        <v>0</v>
      </c>
      <c r="K982" s="289" t="s">
        <v>1731</v>
      </c>
      <c r="L982" s="288" t="s">
        <v>2706</v>
      </c>
      <c r="M982" s="288" t="s">
        <v>2707</v>
      </c>
      <c r="N982" s="288" t="s">
        <v>1830</v>
      </c>
      <c r="O982" s="289" t="s">
        <v>1791</v>
      </c>
      <c r="P982" s="292"/>
    </row>
    <row r="983" spans="1:16" hidden="1" x14ac:dyDescent="0.25">
      <c r="A983" s="287" t="s">
        <v>4341</v>
      </c>
      <c r="B983" s="311" t="s">
        <v>4342</v>
      </c>
      <c r="C983" s="305"/>
      <c r="D983" s="288" t="s">
        <v>4343</v>
      </c>
      <c r="E983" s="288"/>
      <c r="F983" s="289"/>
      <c r="G983" s="290">
        <v>46066</v>
      </c>
      <c r="H983" s="291">
        <v>5367.57</v>
      </c>
      <c r="I983" s="291">
        <v>5367.57</v>
      </c>
      <c r="J983" s="291">
        <v>-5367.57</v>
      </c>
      <c r="K983" s="289" t="s">
        <v>1731</v>
      </c>
      <c r="L983" s="288" t="s">
        <v>2706</v>
      </c>
      <c r="M983" s="288" t="s">
        <v>2707</v>
      </c>
      <c r="N983" s="288" t="s">
        <v>1830</v>
      </c>
      <c r="O983" s="289" t="s">
        <v>1791</v>
      </c>
      <c r="P983" s="292"/>
    </row>
    <row r="984" spans="1:16" hidden="1" x14ac:dyDescent="0.25">
      <c r="A984" s="287" t="s">
        <v>4344</v>
      </c>
      <c r="B984" s="311" t="s">
        <v>4345</v>
      </c>
      <c r="C984" s="305"/>
      <c r="D984" s="288" t="s">
        <v>4346</v>
      </c>
      <c r="E984" s="288"/>
      <c r="F984" s="289"/>
      <c r="G984" s="290">
        <v>46066</v>
      </c>
      <c r="H984" s="291">
        <v>4725.1099999999997</v>
      </c>
      <c r="I984" s="291">
        <v>4725.1099999999997</v>
      </c>
      <c r="J984" s="291">
        <v>-3042.11</v>
      </c>
      <c r="K984" s="289" t="s">
        <v>1731</v>
      </c>
      <c r="L984" s="288" t="s">
        <v>2706</v>
      </c>
      <c r="M984" s="288" t="s">
        <v>2707</v>
      </c>
      <c r="N984" s="288" t="s">
        <v>1830</v>
      </c>
      <c r="O984" s="289" t="s">
        <v>1791</v>
      </c>
      <c r="P984" s="292"/>
    </row>
    <row r="985" spans="1:16" hidden="1" x14ac:dyDescent="0.25">
      <c r="A985" s="287" t="s">
        <v>4347</v>
      </c>
      <c r="B985" s="311" t="s">
        <v>4348</v>
      </c>
      <c r="C985" s="305"/>
      <c r="D985" s="288" t="s">
        <v>4349</v>
      </c>
      <c r="E985" s="288"/>
      <c r="F985" s="289"/>
      <c r="G985" s="290">
        <v>46066</v>
      </c>
      <c r="H985" s="291">
        <v>151.44999999999999</v>
      </c>
      <c r="I985" s="291">
        <v>151.44999999999999</v>
      </c>
      <c r="J985" s="291">
        <v>-151.44999999999999</v>
      </c>
      <c r="K985" s="289" t="s">
        <v>1731</v>
      </c>
      <c r="L985" s="288" t="s">
        <v>2706</v>
      </c>
      <c r="M985" s="288" t="s">
        <v>2707</v>
      </c>
      <c r="N985" s="288" t="s">
        <v>1830</v>
      </c>
      <c r="O985" s="289" t="s">
        <v>1791</v>
      </c>
      <c r="P985" s="292"/>
    </row>
    <row r="986" spans="1:16" hidden="1" x14ac:dyDescent="0.25">
      <c r="A986" s="287" t="s">
        <v>4350</v>
      </c>
      <c r="B986" s="311" t="s">
        <v>4351</v>
      </c>
      <c r="C986" s="305"/>
      <c r="D986" s="288" t="s">
        <v>4352</v>
      </c>
      <c r="E986" s="288"/>
      <c r="F986" s="289"/>
      <c r="G986" s="290">
        <v>46066</v>
      </c>
      <c r="H986" s="291">
        <v>8718.1</v>
      </c>
      <c r="I986" s="291">
        <v>8718.1</v>
      </c>
      <c r="J986" s="291">
        <v>0</v>
      </c>
      <c r="K986" s="289" t="s">
        <v>1731</v>
      </c>
      <c r="L986" s="288" t="s">
        <v>2706</v>
      </c>
      <c r="M986" s="288" t="s">
        <v>2707</v>
      </c>
      <c r="N986" s="288" t="s">
        <v>1830</v>
      </c>
      <c r="O986" s="289" t="s">
        <v>1791</v>
      </c>
      <c r="P986" s="292"/>
    </row>
    <row r="987" spans="1:16" hidden="1" x14ac:dyDescent="0.25">
      <c r="A987" s="287" t="s">
        <v>4353</v>
      </c>
      <c r="B987" s="311" t="s">
        <v>4354</v>
      </c>
      <c r="C987" s="305"/>
      <c r="D987" s="288" t="s">
        <v>4355</v>
      </c>
      <c r="E987" s="288"/>
      <c r="F987" s="289"/>
      <c r="G987" s="290">
        <v>46066</v>
      </c>
      <c r="H987" s="291">
        <v>132.08000000000001</v>
      </c>
      <c r="I987" s="291">
        <v>132.08000000000001</v>
      </c>
      <c r="J987" s="291">
        <v>0</v>
      </c>
      <c r="K987" s="289" t="s">
        <v>1731</v>
      </c>
      <c r="L987" s="288" t="s">
        <v>2706</v>
      </c>
      <c r="M987" s="288" t="s">
        <v>2707</v>
      </c>
      <c r="N987" s="288" t="s">
        <v>1830</v>
      </c>
      <c r="O987" s="289" t="s">
        <v>1791</v>
      </c>
      <c r="P987" s="292"/>
    </row>
    <row r="988" spans="1:16" hidden="1" x14ac:dyDescent="0.25">
      <c r="A988" s="287" t="s">
        <v>4356</v>
      </c>
      <c r="B988" s="311" t="s">
        <v>4357</v>
      </c>
      <c r="C988" s="305"/>
      <c r="D988" s="288" t="s">
        <v>4358</v>
      </c>
      <c r="E988" s="288"/>
      <c r="F988" s="289"/>
      <c r="G988" s="290">
        <v>46066</v>
      </c>
      <c r="H988" s="291">
        <v>13684.34</v>
      </c>
      <c r="I988" s="291">
        <v>13684.34</v>
      </c>
      <c r="J988" s="291">
        <v>0</v>
      </c>
      <c r="K988" s="289" t="s">
        <v>1731</v>
      </c>
      <c r="L988" s="288" t="s">
        <v>2706</v>
      </c>
      <c r="M988" s="288" t="s">
        <v>2707</v>
      </c>
      <c r="N988" s="288" t="s">
        <v>1830</v>
      </c>
      <c r="O988" s="289" t="s">
        <v>1791</v>
      </c>
      <c r="P988" s="292"/>
    </row>
    <row r="989" spans="1:16" hidden="1" x14ac:dyDescent="0.25">
      <c r="A989" s="287" t="s">
        <v>4359</v>
      </c>
      <c r="B989" s="311" t="s">
        <v>4360</v>
      </c>
      <c r="C989" s="305"/>
      <c r="D989" s="288" t="s">
        <v>4361</v>
      </c>
      <c r="E989" s="288"/>
      <c r="F989" s="289"/>
      <c r="G989" s="290">
        <v>46066</v>
      </c>
      <c r="H989" s="291">
        <v>2040.84</v>
      </c>
      <c r="I989" s="291">
        <v>2040.84</v>
      </c>
      <c r="J989" s="291">
        <v>0</v>
      </c>
      <c r="K989" s="289" t="s">
        <v>1731</v>
      </c>
      <c r="L989" s="288" t="s">
        <v>2706</v>
      </c>
      <c r="M989" s="288" t="s">
        <v>2707</v>
      </c>
      <c r="N989" s="288" t="s">
        <v>1830</v>
      </c>
      <c r="O989" s="289" t="s">
        <v>1791</v>
      </c>
      <c r="P989" s="292"/>
    </row>
    <row r="990" spans="1:16" hidden="1" x14ac:dyDescent="0.25">
      <c r="A990" s="287" t="s">
        <v>4362</v>
      </c>
      <c r="B990" s="311" t="s">
        <v>4363</v>
      </c>
      <c r="C990" s="305"/>
      <c r="D990" s="288" t="s">
        <v>4364</v>
      </c>
      <c r="E990" s="288"/>
      <c r="F990" s="289"/>
      <c r="G990" s="290">
        <v>46066</v>
      </c>
      <c r="H990" s="291">
        <v>122307.28</v>
      </c>
      <c r="I990" s="291">
        <v>122307.28</v>
      </c>
      <c r="J990" s="291">
        <v>-122307.28</v>
      </c>
      <c r="K990" s="289" t="s">
        <v>1731</v>
      </c>
      <c r="L990" s="288" t="s">
        <v>2706</v>
      </c>
      <c r="M990" s="288" t="s">
        <v>2707</v>
      </c>
      <c r="N990" s="288" t="s">
        <v>1830</v>
      </c>
      <c r="O990" s="289" t="s">
        <v>1791</v>
      </c>
      <c r="P990" s="292"/>
    </row>
    <row r="991" spans="1:16" hidden="1" x14ac:dyDescent="0.25">
      <c r="A991" s="287" t="s">
        <v>4365</v>
      </c>
      <c r="B991" s="311" t="s">
        <v>4366</v>
      </c>
      <c r="C991" s="305"/>
      <c r="D991" s="288" t="s">
        <v>4367</v>
      </c>
      <c r="E991" s="288"/>
      <c r="F991" s="289"/>
      <c r="G991" s="290">
        <v>46066</v>
      </c>
      <c r="H991" s="291">
        <v>2049.58</v>
      </c>
      <c r="I991" s="291">
        <v>2049.58</v>
      </c>
      <c r="J991" s="291">
        <v>-2049.58</v>
      </c>
      <c r="K991" s="289" t="s">
        <v>1731</v>
      </c>
      <c r="L991" s="288" t="s">
        <v>2706</v>
      </c>
      <c r="M991" s="288" t="s">
        <v>2707</v>
      </c>
      <c r="N991" s="288" t="s">
        <v>1830</v>
      </c>
      <c r="O991" s="289" t="s">
        <v>1791</v>
      </c>
      <c r="P991" s="292"/>
    </row>
    <row r="992" spans="1:16" hidden="1" x14ac:dyDescent="0.25">
      <c r="A992" s="287" t="s">
        <v>4368</v>
      </c>
      <c r="B992" s="311" t="s">
        <v>4369</v>
      </c>
      <c r="C992" s="305"/>
      <c r="D992" s="288" t="s">
        <v>4370</v>
      </c>
      <c r="E992" s="288"/>
      <c r="F992" s="289"/>
      <c r="G992" s="290">
        <v>46002</v>
      </c>
      <c r="H992" s="291">
        <v>9857.39</v>
      </c>
      <c r="I992" s="291">
        <v>9857.39</v>
      </c>
      <c r="J992" s="291">
        <v>-9857.39</v>
      </c>
      <c r="K992" s="289" t="s">
        <v>1731</v>
      </c>
      <c r="L992" s="288" t="s">
        <v>2706</v>
      </c>
      <c r="M992" s="288" t="s">
        <v>2707</v>
      </c>
      <c r="N992" s="288" t="s">
        <v>1830</v>
      </c>
      <c r="O992" s="289" t="s">
        <v>1791</v>
      </c>
      <c r="P992" s="292"/>
    </row>
    <row r="993" spans="1:16" hidden="1" x14ac:dyDescent="0.25">
      <c r="A993" s="287" t="s">
        <v>4371</v>
      </c>
      <c r="B993" s="311" t="s">
        <v>4372</v>
      </c>
      <c r="C993" s="305"/>
      <c r="D993" s="288" t="s">
        <v>4373</v>
      </c>
      <c r="E993" s="288"/>
      <c r="F993" s="289"/>
      <c r="G993" s="290">
        <v>46066</v>
      </c>
      <c r="H993" s="291">
        <v>4094.79</v>
      </c>
      <c r="I993" s="291">
        <v>4094.79</v>
      </c>
      <c r="J993" s="291">
        <v>0</v>
      </c>
      <c r="K993" s="289" t="s">
        <v>1731</v>
      </c>
      <c r="L993" s="288" t="s">
        <v>2706</v>
      </c>
      <c r="M993" s="288" t="s">
        <v>2707</v>
      </c>
      <c r="N993" s="288" t="s">
        <v>1830</v>
      </c>
      <c r="O993" s="289" t="s">
        <v>1791</v>
      </c>
      <c r="P993" s="292"/>
    </row>
    <row r="994" spans="1:16" hidden="1" x14ac:dyDescent="0.25">
      <c r="A994" s="287" t="s">
        <v>4374</v>
      </c>
      <c r="B994" s="311" t="s">
        <v>4375</v>
      </c>
      <c r="C994" s="305"/>
      <c r="D994" s="288" t="s">
        <v>4376</v>
      </c>
      <c r="E994" s="288"/>
      <c r="F994" s="289"/>
      <c r="G994" s="290">
        <v>46002</v>
      </c>
      <c r="H994" s="291">
        <v>31068.47</v>
      </c>
      <c r="I994" s="291">
        <v>31068.47</v>
      </c>
      <c r="J994" s="291">
        <v>0</v>
      </c>
      <c r="K994" s="289" t="s">
        <v>1731</v>
      </c>
      <c r="L994" s="288" t="s">
        <v>2706</v>
      </c>
      <c r="M994" s="288" t="s">
        <v>2707</v>
      </c>
      <c r="N994" s="288" t="s">
        <v>1830</v>
      </c>
      <c r="O994" s="289" t="s">
        <v>1791</v>
      </c>
      <c r="P994" s="292"/>
    </row>
    <row r="995" spans="1:16" hidden="1" x14ac:dyDescent="0.25">
      <c r="A995" s="287" t="s">
        <v>4377</v>
      </c>
      <c r="B995" s="311" t="s">
        <v>4378</v>
      </c>
      <c r="C995" s="305"/>
      <c r="D995" s="288" t="s">
        <v>4379</v>
      </c>
      <c r="E995" s="288"/>
      <c r="F995" s="289"/>
      <c r="G995" s="290">
        <v>46066</v>
      </c>
      <c r="H995" s="291">
        <v>19271.62</v>
      </c>
      <c r="I995" s="291">
        <v>19271.62</v>
      </c>
      <c r="J995" s="291">
        <v>0</v>
      </c>
      <c r="K995" s="289" t="s">
        <v>1731</v>
      </c>
      <c r="L995" s="288" t="s">
        <v>2706</v>
      </c>
      <c r="M995" s="288" t="s">
        <v>2707</v>
      </c>
      <c r="N995" s="288" t="s">
        <v>1830</v>
      </c>
      <c r="O995" s="289" t="s">
        <v>1791</v>
      </c>
      <c r="P995" s="292"/>
    </row>
    <row r="996" spans="1:16" hidden="1" x14ac:dyDescent="0.25">
      <c r="A996" s="287" t="s">
        <v>4380</v>
      </c>
      <c r="B996" s="311" t="s">
        <v>4381</v>
      </c>
      <c r="C996" s="305"/>
      <c r="D996" s="288" t="s">
        <v>4382</v>
      </c>
      <c r="E996" s="288"/>
      <c r="F996" s="289"/>
      <c r="G996" s="290">
        <v>46066</v>
      </c>
      <c r="H996" s="291">
        <v>2910.39</v>
      </c>
      <c r="I996" s="291">
        <v>2910.39</v>
      </c>
      <c r="J996" s="291">
        <v>-2910.39</v>
      </c>
      <c r="K996" s="289" t="s">
        <v>1731</v>
      </c>
      <c r="L996" s="288" t="s">
        <v>2706</v>
      </c>
      <c r="M996" s="288" t="s">
        <v>2707</v>
      </c>
      <c r="N996" s="288" t="s">
        <v>1830</v>
      </c>
      <c r="O996" s="289" t="s">
        <v>1791</v>
      </c>
      <c r="P996" s="292"/>
    </row>
    <row r="997" spans="1:16" hidden="1" x14ac:dyDescent="0.25">
      <c r="A997" s="287" t="s">
        <v>4383</v>
      </c>
      <c r="B997" s="311" t="s">
        <v>4384</v>
      </c>
      <c r="C997" s="305"/>
      <c r="D997" s="288" t="s">
        <v>4385</v>
      </c>
      <c r="E997" s="288"/>
      <c r="F997" s="289"/>
      <c r="G997" s="290">
        <v>46066</v>
      </c>
      <c r="H997" s="291">
        <v>17170.169999999998</v>
      </c>
      <c r="I997" s="291">
        <v>17170.169999999998</v>
      </c>
      <c r="J997" s="291">
        <v>0</v>
      </c>
      <c r="K997" s="289" t="s">
        <v>1731</v>
      </c>
      <c r="L997" s="288" t="s">
        <v>2706</v>
      </c>
      <c r="M997" s="288" t="s">
        <v>2707</v>
      </c>
      <c r="N997" s="288" t="s">
        <v>1830</v>
      </c>
      <c r="O997" s="289" t="s">
        <v>1791</v>
      </c>
      <c r="P997" s="292"/>
    </row>
    <row r="998" spans="1:16" hidden="1" x14ac:dyDescent="0.25">
      <c r="A998" s="287" t="s">
        <v>4386</v>
      </c>
      <c r="B998" s="311" t="s">
        <v>4387</v>
      </c>
      <c r="C998" s="305"/>
      <c r="D998" s="288" t="s">
        <v>4388</v>
      </c>
      <c r="E998" s="288"/>
      <c r="F998" s="289"/>
      <c r="G998" s="290">
        <v>46066</v>
      </c>
      <c r="H998" s="291">
        <v>1832.42</v>
      </c>
      <c r="I998" s="291">
        <v>1832.42</v>
      </c>
      <c r="J998" s="291">
        <v>0</v>
      </c>
      <c r="K998" s="289" t="s">
        <v>1731</v>
      </c>
      <c r="L998" s="288" t="s">
        <v>2706</v>
      </c>
      <c r="M998" s="288" t="s">
        <v>2707</v>
      </c>
      <c r="N998" s="288" t="s">
        <v>1830</v>
      </c>
      <c r="O998" s="289" t="s">
        <v>1791</v>
      </c>
      <c r="P998" s="292"/>
    </row>
    <row r="999" spans="1:16" hidden="1" x14ac:dyDescent="0.25">
      <c r="A999" s="287" t="s">
        <v>4389</v>
      </c>
      <c r="B999" s="311" t="s">
        <v>4390</v>
      </c>
      <c r="C999" s="305"/>
      <c r="D999" s="288" t="s">
        <v>4391</v>
      </c>
      <c r="E999" s="288"/>
      <c r="F999" s="289"/>
      <c r="G999" s="290">
        <v>46066</v>
      </c>
      <c r="H999" s="291">
        <v>4714.45</v>
      </c>
      <c r="I999" s="291">
        <v>4714.45</v>
      </c>
      <c r="J999" s="291">
        <v>0</v>
      </c>
      <c r="K999" s="289" t="s">
        <v>1731</v>
      </c>
      <c r="L999" s="288" t="s">
        <v>2706</v>
      </c>
      <c r="M999" s="288" t="s">
        <v>2707</v>
      </c>
      <c r="N999" s="288" t="s">
        <v>1830</v>
      </c>
      <c r="O999" s="289" t="s">
        <v>1791</v>
      </c>
      <c r="P999" s="292"/>
    </row>
    <row r="1000" spans="1:16" hidden="1" x14ac:dyDescent="0.25">
      <c r="A1000" s="287" t="s">
        <v>4392</v>
      </c>
      <c r="B1000" s="311" t="s">
        <v>4393</v>
      </c>
      <c r="C1000" s="305"/>
      <c r="D1000" s="288" t="s">
        <v>4394</v>
      </c>
      <c r="E1000" s="288"/>
      <c r="F1000" s="289"/>
      <c r="G1000" s="290">
        <v>46066</v>
      </c>
      <c r="H1000" s="291">
        <v>2182.9499999999998</v>
      </c>
      <c r="I1000" s="291">
        <v>2182.9499999999998</v>
      </c>
      <c r="J1000" s="291">
        <v>-2182.9499999999998</v>
      </c>
      <c r="K1000" s="289" t="s">
        <v>1731</v>
      </c>
      <c r="L1000" s="288" t="s">
        <v>2706</v>
      </c>
      <c r="M1000" s="288" t="s">
        <v>2707</v>
      </c>
      <c r="N1000" s="288" t="s">
        <v>1830</v>
      </c>
      <c r="O1000" s="289" t="s">
        <v>1791</v>
      </c>
      <c r="P1000" s="292"/>
    </row>
    <row r="1001" spans="1:16" hidden="1" x14ac:dyDescent="0.25">
      <c r="A1001" s="287" t="s">
        <v>4395</v>
      </c>
      <c r="B1001" s="311" t="s">
        <v>4396</v>
      </c>
      <c r="C1001" s="305"/>
      <c r="D1001" s="288" t="s">
        <v>4397</v>
      </c>
      <c r="E1001" s="288"/>
      <c r="F1001" s="289"/>
      <c r="G1001" s="290">
        <v>46066</v>
      </c>
      <c r="H1001" s="291">
        <v>2100</v>
      </c>
      <c r="I1001" s="291">
        <v>2100</v>
      </c>
      <c r="J1001" s="291">
        <v>0</v>
      </c>
      <c r="K1001" s="289" t="s">
        <v>1731</v>
      </c>
      <c r="L1001" s="288" t="s">
        <v>2706</v>
      </c>
      <c r="M1001" s="288" t="s">
        <v>2707</v>
      </c>
      <c r="N1001" s="288" t="s">
        <v>1830</v>
      </c>
      <c r="O1001" s="289" t="s">
        <v>1791</v>
      </c>
      <c r="P1001" s="292"/>
    </row>
    <row r="1002" spans="1:16" hidden="1" x14ac:dyDescent="0.25">
      <c r="A1002" s="287" t="s">
        <v>4398</v>
      </c>
      <c r="B1002" s="311" t="s">
        <v>4399</v>
      </c>
      <c r="C1002" s="305"/>
      <c r="D1002" s="288" t="s">
        <v>4400</v>
      </c>
      <c r="E1002" s="288"/>
      <c r="F1002" s="289"/>
      <c r="G1002" s="290">
        <v>46066</v>
      </c>
      <c r="H1002" s="291">
        <v>2225.66</v>
      </c>
      <c r="I1002" s="291">
        <v>2225.66</v>
      </c>
      <c r="J1002" s="291">
        <v>-2225.66</v>
      </c>
      <c r="K1002" s="289" t="s">
        <v>1731</v>
      </c>
      <c r="L1002" s="288" t="s">
        <v>2706</v>
      </c>
      <c r="M1002" s="288" t="s">
        <v>2707</v>
      </c>
      <c r="N1002" s="288" t="s">
        <v>1830</v>
      </c>
      <c r="O1002" s="289" t="s">
        <v>1791</v>
      </c>
      <c r="P1002" s="292"/>
    </row>
    <row r="1003" spans="1:16" hidden="1" x14ac:dyDescent="0.25">
      <c r="A1003" s="287" t="s">
        <v>4401</v>
      </c>
      <c r="B1003" s="311" t="s">
        <v>4402</v>
      </c>
      <c r="C1003" s="305"/>
      <c r="D1003" s="288" t="s">
        <v>4403</v>
      </c>
      <c r="E1003" s="288"/>
      <c r="F1003" s="289"/>
      <c r="G1003" s="290">
        <v>46066</v>
      </c>
      <c r="H1003" s="291">
        <v>4589</v>
      </c>
      <c r="I1003" s="291">
        <v>4589</v>
      </c>
      <c r="J1003" s="291">
        <v>0</v>
      </c>
      <c r="K1003" s="289" t="s">
        <v>1731</v>
      </c>
      <c r="L1003" s="288" t="s">
        <v>2706</v>
      </c>
      <c r="M1003" s="288" t="s">
        <v>2707</v>
      </c>
      <c r="N1003" s="288" t="s">
        <v>1830</v>
      </c>
      <c r="O1003" s="289" t="s">
        <v>1791</v>
      </c>
      <c r="P1003" s="292"/>
    </row>
    <row r="1004" spans="1:16" hidden="1" x14ac:dyDescent="0.25">
      <c r="A1004" s="287" t="s">
        <v>4404</v>
      </c>
      <c r="B1004" s="311" t="s">
        <v>4405</v>
      </c>
      <c r="C1004" s="305"/>
      <c r="D1004" s="288" t="s">
        <v>4406</v>
      </c>
      <c r="E1004" s="288"/>
      <c r="F1004" s="289"/>
      <c r="G1004" s="290">
        <v>46066</v>
      </c>
      <c r="H1004" s="291">
        <v>2239.0500000000002</v>
      </c>
      <c r="I1004" s="291">
        <v>2239.0500000000002</v>
      </c>
      <c r="J1004" s="291">
        <v>0</v>
      </c>
      <c r="K1004" s="289" t="s">
        <v>1731</v>
      </c>
      <c r="L1004" s="288" t="s">
        <v>2706</v>
      </c>
      <c r="M1004" s="288" t="s">
        <v>2707</v>
      </c>
      <c r="N1004" s="288" t="s">
        <v>1830</v>
      </c>
      <c r="O1004" s="289" t="s">
        <v>1791</v>
      </c>
      <c r="P1004" s="292"/>
    </row>
    <row r="1005" spans="1:16" hidden="1" x14ac:dyDescent="0.25">
      <c r="A1005" s="287" t="s">
        <v>4407</v>
      </c>
      <c r="B1005" s="311" t="s">
        <v>4408</v>
      </c>
      <c r="C1005" s="305"/>
      <c r="D1005" s="288" t="s">
        <v>4409</v>
      </c>
      <c r="E1005" s="288"/>
      <c r="F1005" s="289"/>
      <c r="G1005" s="290">
        <v>46066</v>
      </c>
      <c r="H1005" s="291">
        <v>5960.35</v>
      </c>
      <c r="I1005" s="291">
        <v>5960.35</v>
      </c>
      <c r="J1005" s="291">
        <v>0</v>
      </c>
      <c r="K1005" s="289" t="s">
        <v>1731</v>
      </c>
      <c r="L1005" s="288" t="s">
        <v>2706</v>
      </c>
      <c r="M1005" s="288" t="s">
        <v>2707</v>
      </c>
      <c r="N1005" s="288" t="s">
        <v>1830</v>
      </c>
      <c r="O1005" s="289" t="s">
        <v>1791</v>
      </c>
      <c r="P1005" s="292"/>
    </row>
    <row r="1006" spans="1:16" hidden="1" x14ac:dyDescent="0.25">
      <c r="A1006" s="287" t="s">
        <v>4410</v>
      </c>
      <c r="B1006" s="311" t="s">
        <v>4411</v>
      </c>
      <c r="C1006" s="305"/>
      <c r="D1006" s="288" t="s">
        <v>4412</v>
      </c>
      <c r="E1006" s="288"/>
      <c r="F1006" s="289"/>
      <c r="G1006" s="290">
        <v>46066</v>
      </c>
      <c r="H1006" s="291">
        <v>6300</v>
      </c>
      <c r="I1006" s="291">
        <v>6300</v>
      </c>
      <c r="J1006" s="291">
        <v>-6300</v>
      </c>
      <c r="K1006" s="289" t="s">
        <v>1731</v>
      </c>
      <c r="L1006" s="288" t="s">
        <v>2706</v>
      </c>
      <c r="M1006" s="288" t="s">
        <v>2707</v>
      </c>
      <c r="N1006" s="288" t="s">
        <v>1830</v>
      </c>
      <c r="O1006" s="289" t="s">
        <v>1791</v>
      </c>
      <c r="P1006" s="292"/>
    </row>
    <row r="1007" spans="1:16" hidden="1" x14ac:dyDescent="0.25">
      <c r="A1007" s="287" t="s">
        <v>4413</v>
      </c>
      <c r="B1007" s="311" t="s">
        <v>4414</v>
      </c>
      <c r="C1007" s="305"/>
      <c r="D1007" s="288" t="s">
        <v>4415</v>
      </c>
      <c r="E1007" s="288"/>
      <c r="F1007" s="289"/>
      <c r="G1007" s="290">
        <v>46066</v>
      </c>
      <c r="H1007" s="291">
        <v>6522.97</v>
      </c>
      <c r="I1007" s="291">
        <v>6522.97</v>
      </c>
      <c r="J1007" s="291">
        <v>0</v>
      </c>
      <c r="K1007" s="289" t="s">
        <v>1731</v>
      </c>
      <c r="L1007" s="288" t="s">
        <v>2706</v>
      </c>
      <c r="M1007" s="288" t="s">
        <v>2707</v>
      </c>
      <c r="N1007" s="288" t="s">
        <v>1830</v>
      </c>
      <c r="O1007" s="289" t="s">
        <v>1791</v>
      </c>
      <c r="P1007" s="292"/>
    </row>
    <row r="1008" spans="1:16" hidden="1" x14ac:dyDescent="0.25">
      <c r="A1008" s="287" t="s">
        <v>4416</v>
      </c>
      <c r="B1008" s="311" t="s">
        <v>4417</v>
      </c>
      <c r="C1008" s="305"/>
      <c r="D1008" s="288" t="s">
        <v>4418</v>
      </c>
      <c r="E1008" s="288"/>
      <c r="F1008" s="289"/>
      <c r="G1008" s="290">
        <v>46002</v>
      </c>
      <c r="H1008" s="291">
        <v>16528.580000000002</v>
      </c>
      <c r="I1008" s="291">
        <v>16528.580000000002</v>
      </c>
      <c r="J1008" s="291">
        <v>-16528.580000000002</v>
      </c>
      <c r="K1008" s="289" t="s">
        <v>1731</v>
      </c>
      <c r="L1008" s="288" t="s">
        <v>2706</v>
      </c>
      <c r="M1008" s="288" t="s">
        <v>2707</v>
      </c>
      <c r="N1008" s="288" t="s">
        <v>1830</v>
      </c>
      <c r="O1008" s="289" t="s">
        <v>1791</v>
      </c>
      <c r="P1008" s="292"/>
    </row>
    <row r="1009" spans="1:17" hidden="1" x14ac:dyDescent="0.25">
      <c r="A1009" s="287" t="s">
        <v>4419</v>
      </c>
      <c r="B1009" s="311" t="s">
        <v>4420</v>
      </c>
      <c r="C1009" s="305"/>
      <c r="D1009" s="288" t="s">
        <v>4421</v>
      </c>
      <c r="E1009" s="288"/>
      <c r="F1009" s="289"/>
      <c r="G1009" s="290">
        <v>46066</v>
      </c>
      <c r="H1009" s="291">
        <v>3354.68</v>
      </c>
      <c r="I1009" s="291">
        <v>3354.68</v>
      </c>
      <c r="J1009" s="291">
        <v>-3354.68</v>
      </c>
      <c r="K1009" s="289" t="s">
        <v>1731</v>
      </c>
      <c r="L1009" s="288" t="s">
        <v>2706</v>
      </c>
      <c r="M1009" s="288" t="s">
        <v>2707</v>
      </c>
      <c r="N1009" s="288" t="s">
        <v>1830</v>
      </c>
      <c r="O1009" s="289" t="s">
        <v>1791</v>
      </c>
      <c r="P1009" s="292"/>
    </row>
    <row r="1010" spans="1:17" hidden="1" x14ac:dyDescent="0.25">
      <c r="A1010" s="287" t="s">
        <v>4422</v>
      </c>
      <c r="B1010" s="311" t="s">
        <v>4423</v>
      </c>
      <c r="C1010" s="305"/>
      <c r="D1010" s="288" t="s">
        <v>4424</v>
      </c>
      <c r="E1010" s="288"/>
      <c r="F1010" s="289"/>
      <c r="G1010" s="290">
        <v>46066</v>
      </c>
      <c r="H1010" s="291">
        <v>720.29</v>
      </c>
      <c r="I1010" s="291">
        <v>720.29</v>
      </c>
      <c r="J1010" s="291">
        <v>-720.29</v>
      </c>
      <c r="K1010" s="289" t="s">
        <v>1731</v>
      </c>
      <c r="L1010" s="288" t="s">
        <v>2706</v>
      </c>
      <c r="M1010" s="288" t="s">
        <v>2707</v>
      </c>
      <c r="N1010" s="288" t="s">
        <v>1830</v>
      </c>
      <c r="O1010" s="289" t="s">
        <v>1791</v>
      </c>
      <c r="P1010" s="292"/>
    </row>
    <row r="1011" spans="1:17" hidden="1" x14ac:dyDescent="0.25">
      <c r="A1011" s="287" t="s">
        <v>4425</v>
      </c>
      <c r="B1011" s="311" t="s">
        <v>4426</v>
      </c>
      <c r="C1011" s="305"/>
      <c r="D1011" s="288" t="s">
        <v>4427</v>
      </c>
      <c r="E1011" s="288"/>
      <c r="F1011" s="289"/>
      <c r="G1011" s="290">
        <v>46066</v>
      </c>
      <c r="H1011" s="291">
        <v>1978.33</v>
      </c>
      <c r="I1011" s="291">
        <v>1978.33</v>
      </c>
      <c r="J1011" s="291">
        <v>-1978.33</v>
      </c>
      <c r="K1011" s="289" t="s">
        <v>1731</v>
      </c>
      <c r="L1011" s="288" t="s">
        <v>2706</v>
      </c>
      <c r="M1011" s="288" t="s">
        <v>2707</v>
      </c>
      <c r="N1011" s="288" t="s">
        <v>1830</v>
      </c>
      <c r="O1011" s="289" t="s">
        <v>1791</v>
      </c>
      <c r="P1011" s="292"/>
    </row>
    <row r="1012" spans="1:17" hidden="1" x14ac:dyDescent="0.25">
      <c r="A1012" s="287" t="s">
        <v>4428</v>
      </c>
      <c r="B1012" s="311" t="s">
        <v>4429</v>
      </c>
      <c r="C1012" s="305"/>
      <c r="D1012" s="288" t="s">
        <v>4430</v>
      </c>
      <c r="E1012" s="288"/>
      <c r="F1012" s="289"/>
      <c r="G1012" s="290">
        <v>46066</v>
      </c>
      <c r="H1012" s="291">
        <v>3391.02</v>
      </c>
      <c r="I1012" s="291">
        <v>3391.02</v>
      </c>
      <c r="J1012" s="291">
        <v>0</v>
      </c>
      <c r="K1012" s="289" t="s">
        <v>1731</v>
      </c>
      <c r="L1012" s="288" t="s">
        <v>2706</v>
      </c>
      <c r="M1012" s="288" t="s">
        <v>2707</v>
      </c>
      <c r="N1012" s="288" t="s">
        <v>1830</v>
      </c>
      <c r="O1012" s="289" t="s">
        <v>1791</v>
      </c>
      <c r="P1012" s="292"/>
    </row>
    <row r="1013" spans="1:17" hidden="1" x14ac:dyDescent="0.25">
      <c r="A1013" s="287" t="s">
        <v>4431</v>
      </c>
      <c r="B1013" s="311" t="s">
        <v>4432</v>
      </c>
      <c r="C1013" s="305"/>
      <c r="D1013" s="288" t="s">
        <v>4433</v>
      </c>
      <c r="E1013" s="288"/>
      <c r="F1013" s="289"/>
      <c r="G1013" s="290">
        <v>46002</v>
      </c>
      <c r="H1013" s="291">
        <v>1.92</v>
      </c>
      <c r="I1013" s="291">
        <v>1.92</v>
      </c>
      <c r="J1013" s="291">
        <v>-1.92</v>
      </c>
      <c r="K1013" s="289" t="s">
        <v>1731</v>
      </c>
      <c r="L1013" s="288" t="s">
        <v>2706</v>
      </c>
      <c r="M1013" s="288" t="s">
        <v>2707</v>
      </c>
      <c r="N1013" s="288" t="s">
        <v>1830</v>
      </c>
      <c r="O1013" s="289" t="s">
        <v>1791</v>
      </c>
      <c r="P1013" s="292"/>
    </row>
    <row r="1014" spans="1:17" hidden="1" x14ac:dyDescent="0.25">
      <c r="A1014" s="287" t="s">
        <v>4434</v>
      </c>
      <c r="B1014" s="311" t="s">
        <v>4435</v>
      </c>
      <c r="C1014" s="305"/>
      <c r="D1014" s="288" t="s">
        <v>4436</v>
      </c>
      <c r="E1014" s="288"/>
      <c r="F1014" s="289"/>
      <c r="G1014" s="290">
        <v>46002</v>
      </c>
      <c r="H1014" s="291">
        <v>6619.95</v>
      </c>
      <c r="I1014" s="291">
        <v>6619.95</v>
      </c>
      <c r="J1014" s="291">
        <v>0</v>
      </c>
      <c r="K1014" s="289" t="s">
        <v>1731</v>
      </c>
      <c r="L1014" s="288" t="s">
        <v>2706</v>
      </c>
      <c r="M1014" s="288" t="s">
        <v>2707</v>
      </c>
      <c r="N1014" s="288" t="s">
        <v>1830</v>
      </c>
      <c r="O1014" s="289" t="s">
        <v>1791</v>
      </c>
      <c r="P1014" s="292"/>
    </row>
    <row r="1015" spans="1:17" hidden="1" x14ac:dyDescent="0.25">
      <c r="A1015" s="287" t="s">
        <v>4437</v>
      </c>
      <c r="B1015" s="311" t="s">
        <v>4438</v>
      </c>
      <c r="C1015" s="305"/>
      <c r="D1015" s="288" t="s">
        <v>4439</v>
      </c>
      <c r="E1015" s="288"/>
      <c r="F1015" s="289"/>
      <c r="G1015" s="290">
        <v>46002</v>
      </c>
      <c r="H1015" s="291">
        <v>11772.38</v>
      </c>
      <c r="I1015" s="291">
        <v>11772.38</v>
      </c>
      <c r="J1015" s="291">
        <v>0</v>
      </c>
      <c r="K1015" s="289" t="s">
        <v>1731</v>
      </c>
      <c r="L1015" s="288" t="s">
        <v>2706</v>
      </c>
      <c r="M1015" s="288" t="s">
        <v>2707</v>
      </c>
      <c r="N1015" s="288" t="s">
        <v>1830</v>
      </c>
      <c r="O1015" s="289" t="s">
        <v>1791</v>
      </c>
      <c r="P1015" s="292"/>
    </row>
    <row r="1016" spans="1:17" ht="15.75" hidden="1" thickBot="1" x14ac:dyDescent="0.3">
      <c r="A1016" s="300"/>
      <c r="B1016" s="313" t="s">
        <v>4440</v>
      </c>
      <c r="C1016" s="307"/>
      <c r="D1016" s="301"/>
      <c r="E1016" s="301"/>
      <c r="F1016" s="302"/>
      <c r="G1016" s="302"/>
      <c r="H1016" s="303">
        <v>48811139497.800003</v>
      </c>
      <c r="I1016" s="303">
        <v>45299411103.25</v>
      </c>
      <c r="J1016" s="303">
        <v>-328012386.99000001</v>
      </c>
      <c r="K1016" s="302"/>
      <c r="L1016" s="301"/>
      <c r="M1016" s="301"/>
      <c r="N1016" s="301"/>
      <c r="O1016" s="302"/>
      <c r="P1016" s="304"/>
    </row>
    <row r="1017" spans="1:17" hidden="1" x14ac:dyDescent="0.25">
      <c r="C1017" s="308"/>
      <c r="Q1017">
        <f>SUBTOTAL(9,Q158:Q763)</f>
        <v>26</v>
      </c>
    </row>
    <row r="1018" spans="1:17" s="364" customFormat="1" x14ac:dyDescent="0.25">
      <c r="B1018" s="365"/>
      <c r="C1018" s="362"/>
      <c r="Q1018" s="364">
        <f>SUBTOTAL(9,Q158:Q763)</f>
        <v>26</v>
      </c>
    </row>
    <row r="1019" spans="1:17" s="364" customFormat="1" x14ac:dyDescent="0.25">
      <c r="B1019" s="365"/>
      <c r="C1019" s="362"/>
    </row>
    <row r="1020" spans="1:17" s="364" customFormat="1" x14ac:dyDescent="0.25">
      <c r="B1020" s="365"/>
      <c r="C1020" s="362"/>
    </row>
  </sheetData>
  <autoFilter ref="A7:P1017">
    <filterColumn colId="2">
      <colorFilter dxfId="0"/>
    </filterColumn>
  </autoFilter>
  <mergeCells count="3">
    <mergeCell ref="A1:B1"/>
    <mergeCell ref="A2:F2"/>
    <mergeCell ref="A3:F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492"/>
  <sheetViews>
    <sheetView topLeftCell="I1" zoomScaleNormal="100" workbookViewId="0">
      <pane ySplit="1" topLeftCell="A239" activePane="bottomLeft" state="frozen"/>
      <selection activeCell="M2002" sqref="M2002"/>
      <selection pane="bottomLeft" activeCell="T247" sqref="T247"/>
    </sheetView>
  </sheetViews>
  <sheetFormatPr defaultColWidth="8.85546875" defaultRowHeight="15" x14ac:dyDescent="0.25"/>
  <cols>
    <col min="1" max="1" width="8.85546875" style="399"/>
    <col min="2" max="2" width="15.85546875" style="167" customWidth="1"/>
    <col min="3" max="3" width="17.42578125" style="162" customWidth="1"/>
    <col min="4" max="4" width="18" style="162" customWidth="1"/>
    <col min="5" max="5" width="14.85546875" style="162" customWidth="1"/>
    <col min="6" max="6" width="25.7109375" style="220" customWidth="1"/>
    <col min="7" max="7" width="15.5703125" style="221" customWidth="1"/>
    <col min="8" max="8" width="15.85546875" style="162" customWidth="1"/>
    <col min="9" max="9" width="40.7109375" style="164" customWidth="1"/>
    <col min="10" max="10" width="15.85546875" style="224" customWidth="1"/>
    <col min="11" max="11" width="17.5703125" style="222" customWidth="1"/>
    <col min="12" max="12" width="19.28515625" style="223" customWidth="1"/>
    <col min="13" max="13" width="19.28515625" style="223" hidden="1" customWidth="1"/>
    <col min="14" max="14" width="23.7109375" style="167" customWidth="1"/>
    <col min="15" max="15" width="32.28515625" style="167" hidden="1" customWidth="1"/>
    <col min="16" max="16" width="37" style="224" hidden="1" customWidth="1"/>
    <col min="17" max="17" width="25.85546875" style="224" hidden="1" customWidth="1"/>
    <col min="18" max="18" width="19.28515625" style="224" customWidth="1"/>
    <col min="19" max="19" width="26.140625" style="165" customWidth="1"/>
    <col min="20" max="20" width="24" style="165" customWidth="1"/>
    <col min="21" max="21" width="21.42578125" style="225" customWidth="1"/>
    <col min="22" max="32" width="21.42578125" style="225" hidden="1" customWidth="1"/>
    <col min="33" max="33" width="24.140625" style="227" hidden="1" customWidth="1"/>
    <col min="34" max="34" width="23.5703125" style="227" hidden="1" customWidth="1"/>
    <col min="35" max="35" width="24.7109375" style="178" hidden="1" customWidth="1"/>
    <col min="36" max="36" width="23" style="178" hidden="1" customWidth="1"/>
    <col min="37" max="37" width="44" style="168" customWidth="1"/>
    <col min="38" max="38" width="37.7109375" style="226" hidden="1" customWidth="1"/>
    <col min="39" max="39" width="68" style="402" hidden="1" customWidth="1"/>
    <col min="40" max="40" width="35.7109375" style="466" customWidth="1"/>
    <col min="41" max="41" width="8.85546875" style="227" customWidth="1"/>
    <col min="42" max="16384" width="8.85546875" style="227"/>
  </cols>
  <sheetData>
    <row r="1" spans="1:47" s="29" customFormat="1" ht="45.75" customHeight="1" x14ac:dyDescent="0.25">
      <c r="A1" s="446"/>
      <c r="B1" s="436" t="s">
        <v>741</v>
      </c>
      <c r="C1" s="436" t="s">
        <v>1</v>
      </c>
      <c r="D1" s="436" t="s">
        <v>8</v>
      </c>
      <c r="E1" s="436" t="s">
        <v>742</v>
      </c>
      <c r="F1" s="437" t="s">
        <v>2</v>
      </c>
      <c r="G1" s="436" t="s">
        <v>743</v>
      </c>
      <c r="H1" s="438" t="s">
        <v>744</v>
      </c>
      <c r="I1" s="436" t="s">
        <v>5</v>
      </c>
      <c r="J1" s="436" t="s">
        <v>7</v>
      </c>
      <c r="K1" s="439" t="s">
        <v>3</v>
      </c>
      <c r="L1" s="440" t="s">
        <v>745</v>
      </c>
      <c r="M1" s="436" t="s">
        <v>154</v>
      </c>
      <c r="N1" s="436" t="s">
        <v>746</v>
      </c>
      <c r="O1" s="436" t="s">
        <v>166</v>
      </c>
      <c r="P1" s="436" t="s">
        <v>747</v>
      </c>
      <c r="Q1" s="436" t="s">
        <v>6</v>
      </c>
      <c r="R1" s="436" t="s">
        <v>4</v>
      </c>
      <c r="S1" s="109" t="s">
        <v>155</v>
      </c>
      <c r="T1" s="109" t="s">
        <v>146</v>
      </c>
      <c r="U1" s="109" t="s">
        <v>147</v>
      </c>
      <c r="V1" s="517" t="s">
        <v>148</v>
      </c>
      <c r="W1" s="517"/>
      <c r="X1" s="517"/>
      <c r="Y1" s="405" t="s">
        <v>152</v>
      </c>
      <c r="Z1" s="405" t="s">
        <v>153</v>
      </c>
      <c r="AA1" s="363" t="s">
        <v>161</v>
      </c>
      <c r="AB1" s="363" t="s">
        <v>9</v>
      </c>
      <c r="AC1" s="363"/>
      <c r="AD1" s="363"/>
      <c r="AE1" s="363"/>
      <c r="AF1" s="363"/>
      <c r="AG1" s="182" t="s">
        <v>1126</v>
      </c>
      <c r="AH1" s="182" t="s">
        <v>1346</v>
      </c>
      <c r="AI1" s="182" t="s">
        <v>585</v>
      </c>
      <c r="AJ1" s="182" t="s">
        <v>1608</v>
      </c>
      <c r="AK1" s="461" t="s">
        <v>4585</v>
      </c>
      <c r="AL1" s="212" t="s">
        <v>961</v>
      </c>
      <c r="AM1" s="404" t="s">
        <v>4558</v>
      </c>
      <c r="AN1" s="461" t="s">
        <v>4660</v>
      </c>
    </row>
    <row r="2" spans="1:47" s="190" customFormat="1" ht="131.25" customHeight="1" x14ac:dyDescent="0.25">
      <c r="A2" s="447">
        <v>1</v>
      </c>
      <c r="B2" s="516" t="s">
        <v>749</v>
      </c>
      <c r="C2" s="98"/>
      <c r="D2" s="98"/>
      <c r="E2" s="516">
        <v>1000148978</v>
      </c>
      <c r="F2" s="108" t="s">
        <v>751</v>
      </c>
      <c r="G2" s="98">
        <v>8000713652</v>
      </c>
      <c r="H2" s="99">
        <v>45720</v>
      </c>
      <c r="I2" s="100" t="s">
        <v>752</v>
      </c>
      <c r="J2" s="104" t="s">
        <v>748</v>
      </c>
      <c r="K2" s="434">
        <v>64099284.020000003</v>
      </c>
      <c r="L2" s="106"/>
      <c r="M2" s="106"/>
      <c r="N2" s="98" t="s">
        <v>4601</v>
      </c>
      <c r="O2" s="98"/>
      <c r="P2" s="98"/>
      <c r="Q2" s="100"/>
      <c r="R2" s="98" t="s">
        <v>753</v>
      </c>
      <c r="S2" s="101">
        <v>71236646.799999997</v>
      </c>
      <c r="T2" s="101">
        <v>68666863.799999997</v>
      </c>
      <c r="U2" s="448"/>
      <c r="V2" s="448"/>
      <c r="W2" s="448"/>
      <c r="X2" s="448"/>
      <c r="Y2" s="448"/>
      <c r="Z2" s="448"/>
      <c r="AA2" s="448"/>
      <c r="AB2" s="448"/>
      <c r="AC2" s="448"/>
      <c r="AD2" s="448"/>
      <c r="AE2" s="448"/>
      <c r="AF2" s="448"/>
      <c r="AG2" s="410"/>
      <c r="AH2" s="50" t="s">
        <v>1379</v>
      </c>
      <c r="AI2" s="407"/>
      <c r="AJ2" s="407" t="s">
        <v>1679</v>
      </c>
      <c r="AK2" s="50" t="s">
        <v>4661</v>
      </c>
      <c r="AL2" s="408" t="s">
        <v>1609</v>
      </c>
      <c r="AM2" s="407" t="s">
        <v>4484</v>
      </c>
      <c r="AN2" s="462" t="s">
        <v>4642</v>
      </c>
      <c r="AP2" s="190">
        <v>1</v>
      </c>
      <c r="AU2" s="484" t="s">
        <v>4787</v>
      </c>
    </row>
    <row r="3" spans="1:47" s="190" customFormat="1" ht="105" customHeight="1" x14ac:dyDescent="0.25">
      <c r="A3" s="447"/>
      <c r="B3" s="516"/>
      <c r="C3" s="98" t="s">
        <v>750</v>
      </c>
      <c r="D3" s="98"/>
      <c r="E3" s="516"/>
      <c r="F3" s="108" t="s">
        <v>754</v>
      </c>
      <c r="G3" s="98">
        <v>9000533473</v>
      </c>
      <c r="H3" s="99">
        <v>45768</v>
      </c>
      <c r="I3" s="100" t="s">
        <v>755</v>
      </c>
      <c r="J3" s="104" t="s">
        <v>748</v>
      </c>
      <c r="K3" s="434"/>
      <c r="L3" s="106"/>
      <c r="M3" s="106"/>
      <c r="N3" s="98"/>
      <c r="O3" s="98"/>
      <c r="P3" s="104" t="s">
        <v>99</v>
      </c>
      <c r="Q3" s="100" t="s">
        <v>168</v>
      </c>
      <c r="R3" s="104" t="s">
        <v>753</v>
      </c>
      <c r="S3" s="101"/>
      <c r="T3" s="101"/>
      <c r="U3" s="448"/>
      <c r="V3" s="448"/>
      <c r="W3" s="448"/>
      <c r="X3" s="448"/>
      <c r="Y3" s="448"/>
      <c r="Z3" s="448"/>
      <c r="AA3" s="448"/>
      <c r="AB3" s="448"/>
      <c r="AC3" s="448"/>
      <c r="AD3" s="448"/>
      <c r="AE3" s="448"/>
      <c r="AF3" s="448"/>
      <c r="AG3" s="410"/>
      <c r="AH3" s="410"/>
      <c r="AI3" s="407"/>
      <c r="AJ3" s="407"/>
      <c r="AK3" s="50"/>
      <c r="AL3" s="408"/>
      <c r="AM3" s="407"/>
      <c r="AN3" s="50"/>
    </row>
    <row r="4" spans="1:47" s="190" customFormat="1" ht="30" customHeight="1" x14ac:dyDescent="0.25">
      <c r="A4" s="447"/>
      <c r="B4" s="516"/>
      <c r="C4" s="98"/>
      <c r="D4" s="98"/>
      <c r="E4" s="516"/>
      <c r="F4" s="108" t="s">
        <v>756</v>
      </c>
      <c r="G4" s="98">
        <v>9000543614</v>
      </c>
      <c r="H4" s="99" t="s">
        <v>505</v>
      </c>
      <c r="I4" s="100" t="s">
        <v>755</v>
      </c>
      <c r="J4" s="104" t="s">
        <v>748</v>
      </c>
      <c r="K4" s="434"/>
      <c r="L4" s="106"/>
      <c r="M4" s="106"/>
      <c r="N4" s="98"/>
      <c r="O4" s="98"/>
      <c r="P4" s="104"/>
      <c r="Q4" s="100" t="s">
        <v>168</v>
      </c>
      <c r="R4" s="98" t="s">
        <v>507</v>
      </c>
      <c r="S4" s="101"/>
      <c r="T4" s="101"/>
      <c r="U4" s="448"/>
      <c r="V4" s="448"/>
      <c r="W4" s="448"/>
      <c r="X4" s="448"/>
      <c r="Y4" s="448"/>
      <c r="Z4" s="448"/>
      <c r="AA4" s="448"/>
      <c r="AB4" s="448"/>
      <c r="AC4" s="448"/>
      <c r="AD4" s="448"/>
      <c r="AE4" s="448"/>
      <c r="AF4" s="448"/>
      <c r="AG4" s="410"/>
      <c r="AH4" s="410"/>
      <c r="AI4" s="407"/>
      <c r="AJ4" s="407"/>
      <c r="AK4" s="50"/>
      <c r="AL4" s="408"/>
      <c r="AM4" s="407"/>
      <c r="AN4" s="50"/>
    </row>
    <row r="5" spans="1:47" s="190" customFormat="1" ht="60" x14ac:dyDescent="0.25">
      <c r="A5" s="447"/>
      <c r="B5" s="516"/>
      <c r="C5" s="98"/>
      <c r="D5" s="98"/>
      <c r="E5" s="516"/>
      <c r="F5" s="108" t="s">
        <v>757</v>
      </c>
      <c r="G5" s="98">
        <v>9000549229</v>
      </c>
      <c r="H5" s="99" t="s">
        <v>758</v>
      </c>
      <c r="I5" s="100" t="s">
        <v>108</v>
      </c>
      <c r="J5" s="104" t="s">
        <v>748</v>
      </c>
      <c r="K5" s="434">
        <v>8694915.0600000005</v>
      </c>
      <c r="L5" s="106"/>
      <c r="M5" s="106"/>
      <c r="N5" s="98"/>
      <c r="O5" s="98"/>
      <c r="P5" s="104" t="s">
        <v>759</v>
      </c>
      <c r="Q5" s="100" t="s">
        <v>168</v>
      </c>
      <c r="R5" s="98" t="s">
        <v>507</v>
      </c>
      <c r="S5" s="101"/>
      <c r="T5" s="101"/>
      <c r="U5" s="448"/>
      <c r="V5" s="448"/>
      <c r="W5" s="448"/>
      <c r="X5" s="448"/>
      <c r="Y5" s="448"/>
      <c r="Z5" s="448"/>
      <c r="AA5" s="448"/>
      <c r="AB5" s="448"/>
      <c r="AC5" s="448"/>
      <c r="AD5" s="448"/>
      <c r="AE5" s="448"/>
      <c r="AF5" s="448"/>
      <c r="AG5" s="410"/>
      <c r="AH5" s="410"/>
      <c r="AI5" s="407"/>
      <c r="AJ5" s="407"/>
      <c r="AK5" s="50"/>
      <c r="AL5" s="408"/>
      <c r="AM5" s="407"/>
      <c r="AN5" s="50"/>
    </row>
    <row r="6" spans="1:47" s="190" customFormat="1" ht="45" x14ac:dyDescent="0.25">
      <c r="A6" s="447"/>
      <c r="B6" s="516"/>
      <c r="C6" s="98"/>
      <c r="D6" s="98"/>
      <c r="E6" s="516"/>
      <c r="F6" s="108" t="s">
        <v>760</v>
      </c>
      <c r="G6" s="98">
        <v>9000549564</v>
      </c>
      <c r="H6" s="99" t="s">
        <v>524</v>
      </c>
      <c r="I6" s="100" t="s">
        <v>761</v>
      </c>
      <c r="J6" s="104" t="s">
        <v>748</v>
      </c>
      <c r="K6" s="434"/>
      <c r="L6" s="106"/>
      <c r="M6" s="106"/>
      <c r="N6" s="98"/>
      <c r="O6" s="98"/>
      <c r="P6" s="104"/>
      <c r="Q6" s="100" t="s">
        <v>168</v>
      </c>
      <c r="R6" s="98" t="s">
        <v>507</v>
      </c>
      <c r="S6" s="101"/>
      <c r="T6" s="101"/>
      <c r="U6" s="448"/>
      <c r="V6" s="448"/>
      <c r="W6" s="448"/>
      <c r="X6" s="448"/>
      <c r="Y6" s="448"/>
      <c r="Z6" s="448"/>
      <c r="AA6" s="448"/>
      <c r="AB6" s="448"/>
      <c r="AC6" s="448"/>
      <c r="AD6" s="448"/>
      <c r="AE6" s="448"/>
      <c r="AF6" s="448"/>
      <c r="AG6" s="410"/>
      <c r="AH6" s="410"/>
      <c r="AI6" s="407"/>
      <c r="AJ6" s="407"/>
      <c r="AK6" s="50"/>
      <c r="AL6" s="408"/>
      <c r="AM6" s="407"/>
      <c r="AN6" s="50"/>
    </row>
    <row r="7" spans="1:47" s="190" customFormat="1" ht="30" x14ac:dyDescent="0.25">
      <c r="A7" s="447"/>
      <c r="B7" s="516"/>
      <c r="C7" s="98"/>
      <c r="D7" s="98"/>
      <c r="E7" s="516"/>
      <c r="F7" s="108" t="s">
        <v>762</v>
      </c>
      <c r="G7" s="98">
        <v>9000555130</v>
      </c>
      <c r="H7" s="99">
        <v>45838</v>
      </c>
      <c r="I7" s="100" t="s">
        <v>763</v>
      </c>
      <c r="J7" s="104" t="s">
        <v>748</v>
      </c>
      <c r="K7" s="434"/>
      <c r="L7" s="106"/>
      <c r="M7" s="106"/>
      <c r="N7" s="98"/>
      <c r="O7" s="98"/>
      <c r="P7" s="104"/>
      <c r="Q7" s="100" t="s">
        <v>168</v>
      </c>
      <c r="R7" s="98" t="s">
        <v>507</v>
      </c>
      <c r="S7" s="101"/>
      <c r="T7" s="101"/>
      <c r="U7" s="448"/>
      <c r="V7" s="448"/>
      <c r="W7" s="448"/>
      <c r="X7" s="448"/>
      <c r="Y7" s="448"/>
      <c r="Z7" s="448"/>
      <c r="AA7" s="448"/>
      <c r="AB7" s="448"/>
      <c r="AC7" s="448"/>
      <c r="AD7" s="448"/>
      <c r="AE7" s="448"/>
      <c r="AF7" s="448"/>
      <c r="AG7" s="410"/>
      <c r="AH7" s="410"/>
      <c r="AI7" s="407"/>
      <c r="AJ7" s="407"/>
      <c r="AK7" s="50"/>
      <c r="AL7" s="408"/>
      <c r="AM7" s="407"/>
      <c r="AN7" s="50"/>
    </row>
    <row r="8" spans="1:47" s="190" customFormat="1" ht="30" x14ac:dyDescent="0.25">
      <c r="A8" s="447"/>
      <c r="B8" s="98"/>
      <c r="C8" s="98"/>
      <c r="D8" s="98"/>
      <c r="E8" s="98"/>
      <c r="F8" s="108" t="s">
        <v>4470</v>
      </c>
      <c r="G8" s="98">
        <v>9000559478</v>
      </c>
      <c r="H8" s="99">
        <v>45876</v>
      </c>
      <c r="I8" s="100" t="s">
        <v>4471</v>
      </c>
      <c r="J8" s="104" t="s">
        <v>748</v>
      </c>
      <c r="K8" s="434"/>
      <c r="L8" s="106"/>
      <c r="M8" s="106"/>
      <c r="N8" s="98"/>
      <c r="O8" s="98"/>
      <c r="P8" s="104"/>
      <c r="Q8" s="100" t="s">
        <v>168</v>
      </c>
      <c r="R8" s="98" t="s">
        <v>507</v>
      </c>
      <c r="S8" s="101"/>
      <c r="T8" s="101"/>
      <c r="U8" s="448"/>
      <c r="V8" s="448"/>
      <c r="W8" s="448"/>
      <c r="X8" s="448"/>
      <c r="Y8" s="448"/>
      <c r="Z8" s="448"/>
      <c r="AA8" s="448"/>
      <c r="AB8" s="448"/>
      <c r="AC8" s="448"/>
      <c r="AD8" s="448"/>
      <c r="AE8" s="448"/>
      <c r="AF8" s="448"/>
      <c r="AG8" s="410"/>
      <c r="AH8" s="410"/>
      <c r="AI8" s="407"/>
      <c r="AJ8" s="407"/>
      <c r="AK8" s="50"/>
      <c r="AL8" s="408"/>
      <c r="AM8" s="407"/>
      <c r="AN8" s="50"/>
    </row>
    <row r="9" spans="1:47" s="190" customFormat="1" ht="30" x14ac:dyDescent="0.25">
      <c r="A9" s="447"/>
      <c r="B9" s="98"/>
      <c r="C9" s="98"/>
      <c r="D9" s="98"/>
      <c r="E9" s="98"/>
      <c r="F9" s="108" t="s">
        <v>4472</v>
      </c>
      <c r="G9" s="98">
        <v>9000572061</v>
      </c>
      <c r="H9" s="99">
        <v>45946</v>
      </c>
      <c r="I9" s="100" t="s">
        <v>4477</v>
      </c>
      <c r="J9" s="104" t="s">
        <v>748</v>
      </c>
      <c r="K9" s="434"/>
      <c r="L9" s="106"/>
      <c r="M9" s="106"/>
      <c r="N9" s="98"/>
      <c r="O9" s="98"/>
      <c r="P9" s="104"/>
      <c r="Q9" s="100" t="s">
        <v>168</v>
      </c>
      <c r="R9" s="98" t="s">
        <v>507</v>
      </c>
      <c r="S9" s="101"/>
      <c r="T9" s="101"/>
      <c r="U9" s="448"/>
      <c r="V9" s="448"/>
      <c r="W9" s="448"/>
      <c r="X9" s="448"/>
      <c r="Y9" s="448"/>
      <c r="Z9" s="448"/>
      <c r="AA9" s="448"/>
      <c r="AB9" s="448"/>
      <c r="AC9" s="448"/>
      <c r="AD9" s="448"/>
      <c r="AE9" s="448"/>
      <c r="AF9" s="448"/>
      <c r="AG9" s="410"/>
      <c r="AH9" s="410"/>
      <c r="AI9" s="407"/>
      <c r="AJ9" s="407"/>
      <c r="AK9" s="50"/>
      <c r="AL9" s="408"/>
      <c r="AM9" s="407"/>
      <c r="AN9" s="50"/>
    </row>
    <row r="10" spans="1:47" s="190" customFormat="1" ht="30" x14ac:dyDescent="0.25">
      <c r="A10" s="447"/>
      <c r="B10" s="98"/>
      <c r="C10" s="98"/>
      <c r="D10" s="98"/>
      <c r="E10" s="98"/>
      <c r="F10" s="108" t="s">
        <v>4473</v>
      </c>
      <c r="G10" s="98">
        <v>9000576274</v>
      </c>
      <c r="H10" s="99">
        <v>45975</v>
      </c>
      <c r="I10" s="100" t="s">
        <v>4478</v>
      </c>
      <c r="J10" s="104" t="s">
        <v>748</v>
      </c>
      <c r="K10" s="434"/>
      <c r="L10" s="106"/>
      <c r="M10" s="106"/>
      <c r="N10" s="98"/>
      <c r="O10" s="98"/>
      <c r="P10" s="104"/>
      <c r="Q10" s="100" t="s">
        <v>168</v>
      </c>
      <c r="R10" s="98" t="s">
        <v>507</v>
      </c>
      <c r="S10" s="101"/>
      <c r="T10" s="101"/>
      <c r="U10" s="448"/>
      <c r="V10" s="448"/>
      <c r="W10" s="448"/>
      <c r="X10" s="448"/>
      <c r="Y10" s="448"/>
      <c r="Z10" s="448"/>
      <c r="AA10" s="448"/>
      <c r="AB10" s="448"/>
      <c r="AC10" s="448"/>
      <c r="AD10" s="448"/>
      <c r="AE10" s="448"/>
      <c r="AF10" s="448"/>
      <c r="AG10" s="410"/>
      <c r="AH10" s="410"/>
      <c r="AI10" s="407"/>
      <c r="AJ10" s="407"/>
      <c r="AK10" s="50"/>
      <c r="AL10" s="408"/>
      <c r="AM10" s="407"/>
      <c r="AN10" s="50"/>
    </row>
    <row r="11" spans="1:47" s="190" customFormat="1" ht="30" x14ac:dyDescent="0.25">
      <c r="A11" s="447"/>
      <c r="B11" s="98"/>
      <c r="C11" s="98"/>
      <c r="D11" s="98"/>
      <c r="E11" s="98"/>
      <c r="F11" s="108" t="s">
        <v>4474</v>
      </c>
      <c r="G11" s="98">
        <v>9000592822</v>
      </c>
      <c r="H11" s="99">
        <v>46009</v>
      </c>
      <c r="I11" s="100" t="s">
        <v>4479</v>
      </c>
      <c r="J11" s="104" t="s">
        <v>748</v>
      </c>
      <c r="K11" s="434"/>
      <c r="L11" s="106"/>
      <c r="M11" s="106"/>
      <c r="N11" s="98"/>
      <c r="O11" s="98"/>
      <c r="P11" s="104"/>
      <c r="Q11" s="100" t="s">
        <v>168</v>
      </c>
      <c r="R11" s="98" t="s">
        <v>507</v>
      </c>
      <c r="S11" s="101"/>
      <c r="T11" s="101"/>
      <c r="U11" s="448"/>
      <c r="V11" s="448"/>
      <c r="W11" s="448"/>
      <c r="X11" s="448"/>
      <c r="Y11" s="448"/>
      <c r="Z11" s="448"/>
      <c r="AA11" s="448"/>
      <c r="AB11" s="448"/>
      <c r="AC11" s="448"/>
      <c r="AD11" s="448"/>
      <c r="AE11" s="448"/>
      <c r="AF11" s="448"/>
      <c r="AG11" s="410"/>
      <c r="AH11" s="410"/>
      <c r="AI11" s="407"/>
      <c r="AJ11" s="407"/>
      <c r="AK11" s="50"/>
      <c r="AL11" s="408"/>
      <c r="AM11" s="407"/>
      <c r="AN11" s="50"/>
    </row>
    <row r="12" spans="1:47" s="190" customFormat="1" ht="32.25" customHeight="1" x14ac:dyDescent="0.25">
      <c r="A12" s="447"/>
      <c r="B12" s="98"/>
      <c r="C12" s="98"/>
      <c r="D12" s="98"/>
      <c r="E12" s="98"/>
      <c r="F12" s="409" t="s">
        <v>4483</v>
      </c>
      <c r="G12" s="98">
        <v>9000599170</v>
      </c>
      <c r="H12" s="99">
        <v>46020</v>
      </c>
      <c r="I12" s="100" t="s">
        <v>4482</v>
      </c>
      <c r="J12" s="104"/>
      <c r="K12" s="434"/>
      <c r="L12" s="106"/>
      <c r="M12" s="106"/>
      <c r="N12" s="99">
        <v>46021</v>
      </c>
      <c r="O12" s="98"/>
      <c r="P12" s="104"/>
      <c r="Q12" s="100"/>
      <c r="R12" s="98" t="s">
        <v>507</v>
      </c>
      <c r="S12" s="101"/>
      <c r="T12" s="101"/>
      <c r="U12" s="448"/>
      <c r="V12" s="448"/>
      <c r="W12" s="448"/>
      <c r="X12" s="448"/>
      <c r="Y12" s="448"/>
      <c r="Z12" s="448"/>
      <c r="AA12" s="448"/>
      <c r="AB12" s="448"/>
      <c r="AC12" s="448"/>
      <c r="AD12" s="448"/>
      <c r="AE12" s="448"/>
      <c r="AF12" s="448"/>
      <c r="AG12" s="410"/>
      <c r="AH12" s="410"/>
      <c r="AI12" s="407"/>
      <c r="AJ12" s="407"/>
      <c r="AK12" s="50"/>
      <c r="AL12" s="408"/>
      <c r="AM12" s="407"/>
      <c r="AN12" s="50"/>
    </row>
    <row r="13" spans="1:47" s="190" customFormat="1" ht="30" x14ac:dyDescent="0.25">
      <c r="A13" s="447"/>
      <c r="B13" s="98"/>
      <c r="C13" s="98"/>
      <c r="D13" s="98"/>
      <c r="E13" s="98"/>
      <c r="F13" s="108" t="s">
        <v>4475</v>
      </c>
      <c r="G13" s="98">
        <v>9000601786</v>
      </c>
      <c r="H13" s="99">
        <v>46041</v>
      </c>
      <c r="I13" s="100" t="s">
        <v>4480</v>
      </c>
      <c r="J13" s="104" t="s">
        <v>748</v>
      </c>
      <c r="K13" s="434"/>
      <c r="L13" s="106"/>
      <c r="M13" s="106"/>
      <c r="N13" s="98"/>
      <c r="O13" s="98"/>
      <c r="P13" s="104"/>
      <c r="Q13" s="100" t="s">
        <v>168</v>
      </c>
      <c r="R13" s="98" t="s">
        <v>507</v>
      </c>
      <c r="S13" s="101"/>
      <c r="T13" s="101"/>
      <c r="U13" s="448"/>
      <c r="V13" s="448"/>
      <c r="W13" s="448"/>
      <c r="X13" s="448"/>
      <c r="Y13" s="448"/>
      <c r="Z13" s="448"/>
      <c r="AA13" s="448"/>
      <c r="AB13" s="448"/>
      <c r="AC13" s="448"/>
      <c r="AD13" s="448"/>
      <c r="AE13" s="448"/>
      <c r="AF13" s="448"/>
      <c r="AG13" s="410"/>
      <c r="AH13" s="410"/>
      <c r="AI13" s="407"/>
      <c r="AJ13" s="407"/>
      <c r="AK13" s="50"/>
      <c r="AL13" s="408"/>
      <c r="AM13" s="407"/>
      <c r="AN13" s="50"/>
    </row>
    <row r="14" spans="1:47" s="190" customFormat="1" ht="30" x14ac:dyDescent="0.25">
      <c r="A14" s="447"/>
      <c r="B14" s="98"/>
      <c r="C14" s="98"/>
      <c r="D14" s="98"/>
      <c r="E14" s="98"/>
      <c r="F14" s="108" t="s">
        <v>4476</v>
      </c>
      <c r="G14" s="98">
        <v>9000607849</v>
      </c>
      <c r="H14" s="99">
        <v>46085</v>
      </c>
      <c r="I14" s="100" t="s">
        <v>4481</v>
      </c>
      <c r="J14" s="104" t="s">
        <v>748</v>
      </c>
      <c r="K14" s="434"/>
      <c r="L14" s="106"/>
      <c r="M14" s="106"/>
      <c r="N14" s="98"/>
      <c r="O14" s="98"/>
      <c r="P14" s="104"/>
      <c r="Q14" s="100" t="s">
        <v>168</v>
      </c>
      <c r="R14" s="98" t="s">
        <v>507</v>
      </c>
      <c r="S14" s="101"/>
      <c r="T14" s="101"/>
      <c r="U14" s="448"/>
      <c r="V14" s="448"/>
      <c r="W14" s="448"/>
      <c r="X14" s="448"/>
      <c r="Y14" s="448"/>
      <c r="Z14" s="448"/>
      <c r="AA14" s="448"/>
      <c r="AB14" s="448"/>
      <c r="AC14" s="448"/>
      <c r="AD14" s="448"/>
      <c r="AE14" s="448"/>
      <c r="AF14" s="448"/>
      <c r="AG14" s="410"/>
      <c r="AH14" s="410"/>
      <c r="AI14" s="407"/>
      <c r="AJ14" s="407"/>
      <c r="AK14" s="50"/>
      <c r="AL14" s="408"/>
      <c r="AM14" s="407"/>
      <c r="AN14" s="50"/>
    </row>
    <row r="15" spans="1:47" s="190" customFormat="1" x14ac:dyDescent="0.25">
      <c r="A15" s="398"/>
      <c r="B15" s="8"/>
      <c r="C15" s="8"/>
      <c r="D15" s="8"/>
      <c r="E15" s="8"/>
      <c r="F15" s="191"/>
      <c r="G15" s="8"/>
      <c r="H15" s="38"/>
      <c r="I15" s="15"/>
      <c r="J15" s="6"/>
      <c r="K15" s="65"/>
      <c r="L15" s="259">
        <f>K2+K5</f>
        <v>72794199.079999998</v>
      </c>
      <c r="M15" s="259"/>
      <c r="N15" s="8"/>
      <c r="O15" s="8"/>
      <c r="P15" s="6"/>
      <c r="Q15" s="6"/>
      <c r="R15" s="6"/>
      <c r="S15" s="42">
        <f>L15-S2</f>
        <v>1557552.2800000012</v>
      </c>
      <c r="T15" s="42"/>
      <c r="U15" s="42"/>
      <c r="V15" s="42"/>
      <c r="W15" s="42"/>
      <c r="X15" s="42"/>
      <c r="Y15" s="42"/>
      <c r="Z15" s="42"/>
      <c r="AA15" s="42"/>
      <c r="AB15" s="42"/>
      <c r="AC15" s="42"/>
      <c r="AD15" s="42"/>
      <c r="AE15" s="42"/>
      <c r="AF15" s="42"/>
      <c r="AG15" s="189"/>
      <c r="AH15" s="189"/>
      <c r="AI15" s="189"/>
      <c r="AJ15" s="189"/>
      <c r="AK15" s="109"/>
      <c r="AL15" s="189"/>
      <c r="AM15" s="189"/>
      <c r="AN15" s="109"/>
    </row>
    <row r="16" spans="1:47" s="190" customFormat="1" ht="165" x14ac:dyDescent="0.25">
      <c r="A16" s="447">
        <v>1</v>
      </c>
      <c r="B16" s="516" t="s">
        <v>61</v>
      </c>
      <c r="C16" s="98" t="s">
        <v>62</v>
      </c>
      <c r="D16" s="98">
        <v>1000148978</v>
      </c>
      <c r="E16" s="516">
        <v>1000148978</v>
      </c>
      <c r="F16" s="108" t="s">
        <v>764</v>
      </c>
      <c r="G16" s="98">
        <v>8000733242</v>
      </c>
      <c r="H16" s="99">
        <v>45769</v>
      </c>
      <c r="I16" s="100" t="s">
        <v>765</v>
      </c>
      <c r="J16" s="104" t="s">
        <v>748</v>
      </c>
      <c r="K16" s="101">
        <v>43048286.600000001</v>
      </c>
      <c r="L16" s="106"/>
      <c r="M16" s="106"/>
      <c r="N16" s="98" t="s">
        <v>766</v>
      </c>
      <c r="O16" s="98"/>
      <c r="P16" s="98" t="s">
        <v>767</v>
      </c>
      <c r="Q16" s="100" t="s">
        <v>168</v>
      </c>
      <c r="R16" s="98" t="s">
        <v>476</v>
      </c>
      <c r="S16" s="101">
        <v>62380511.210000001</v>
      </c>
      <c r="T16" s="101">
        <v>62380511.210000001</v>
      </c>
      <c r="U16" s="448" t="s">
        <v>40</v>
      </c>
      <c r="V16" s="448"/>
      <c r="W16" s="448"/>
      <c r="X16" s="448"/>
      <c r="Y16" s="448"/>
      <c r="Z16" s="448"/>
      <c r="AA16" s="448"/>
      <c r="AB16" s="448"/>
      <c r="AC16" s="448"/>
      <c r="AD16" s="448"/>
      <c r="AE16" s="448"/>
      <c r="AF16" s="448"/>
      <c r="AG16" s="410" t="s">
        <v>1164</v>
      </c>
      <c r="AH16" s="50" t="s">
        <v>1380</v>
      </c>
      <c r="AI16" s="407"/>
      <c r="AJ16" s="407" t="s">
        <v>1706</v>
      </c>
      <c r="AK16" s="50" t="s">
        <v>4662</v>
      </c>
      <c r="AL16" s="408" t="s">
        <v>1417</v>
      </c>
      <c r="AM16" s="407" t="s">
        <v>4490</v>
      </c>
      <c r="AN16" s="462" t="s">
        <v>4642</v>
      </c>
      <c r="AP16" s="190">
        <v>1</v>
      </c>
      <c r="AU16" s="484" t="s">
        <v>4787</v>
      </c>
    </row>
    <row r="17" spans="1:47" s="190" customFormat="1" ht="60" x14ac:dyDescent="0.25">
      <c r="A17" s="447"/>
      <c r="B17" s="516"/>
      <c r="C17" s="98"/>
      <c r="D17" s="98">
        <v>1000148978</v>
      </c>
      <c r="E17" s="516"/>
      <c r="F17" s="108" t="s">
        <v>768</v>
      </c>
      <c r="G17" s="98">
        <v>9000547160</v>
      </c>
      <c r="H17" s="99">
        <v>45803</v>
      </c>
      <c r="I17" s="100" t="s">
        <v>768</v>
      </c>
      <c r="J17" s="104" t="s">
        <v>748</v>
      </c>
      <c r="K17" s="101">
        <v>8600062</v>
      </c>
      <c r="L17" s="106"/>
      <c r="M17" s="106"/>
      <c r="N17" s="98" t="s">
        <v>766</v>
      </c>
      <c r="O17" s="98"/>
      <c r="P17" s="98"/>
      <c r="Q17" s="100" t="s">
        <v>168</v>
      </c>
      <c r="R17" s="98" t="s">
        <v>476</v>
      </c>
      <c r="S17" s="101"/>
      <c r="T17" s="101"/>
      <c r="U17" s="448"/>
      <c r="V17" s="448"/>
      <c r="W17" s="448"/>
      <c r="X17" s="448"/>
      <c r="Y17" s="448"/>
      <c r="Z17" s="448"/>
      <c r="AA17" s="448"/>
      <c r="AB17" s="448"/>
      <c r="AC17" s="448"/>
      <c r="AD17" s="448"/>
      <c r="AE17" s="448"/>
      <c r="AF17" s="448"/>
      <c r="AG17" s="410"/>
      <c r="AH17" s="410"/>
      <c r="AI17" s="407"/>
      <c r="AJ17" s="407"/>
      <c r="AK17" s="50"/>
      <c r="AL17" s="408"/>
      <c r="AM17" s="407"/>
      <c r="AN17" s="50"/>
    </row>
    <row r="18" spans="1:47" s="190" customFormat="1" ht="45" x14ac:dyDescent="0.25">
      <c r="A18" s="447"/>
      <c r="B18" s="516"/>
      <c r="C18" s="98"/>
      <c r="D18" s="98">
        <v>1000148978</v>
      </c>
      <c r="E18" s="516"/>
      <c r="F18" s="108" t="s">
        <v>769</v>
      </c>
      <c r="G18" s="98">
        <v>9000551518</v>
      </c>
      <c r="H18" s="99">
        <v>45834</v>
      </c>
      <c r="I18" s="100" t="s">
        <v>770</v>
      </c>
      <c r="J18" s="104" t="s">
        <v>748</v>
      </c>
      <c r="K18" s="101">
        <v>30815219.289999999</v>
      </c>
      <c r="L18" s="106"/>
      <c r="M18" s="106"/>
      <c r="N18" s="98" t="s">
        <v>771</v>
      </c>
      <c r="O18" s="98"/>
      <c r="P18" s="98" t="s">
        <v>772</v>
      </c>
      <c r="Q18" s="100" t="s">
        <v>168</v>
      </c>
      <c r="R18" s="98" t="s">
        <v>476</v>
      </c>
      <c r="S18" s="101"/>
      <c r="T18" s="101"/>
      <c r="U18" s="448"/>
      <c r="V18" s="448"/>
      <c r="W18" s="448"/>
      <c r="X18" s="448"/>
      <c r="Y18" s="448"/>
      <c r="Z18" s="448"/>
      <c r="AA18" s="448"/>
      <c r="AB18" s="448"/>
      <c r="AC18" s="448"/>
      <c r="AD18" s="448"/>
      <c r="AE18" s="448"/>
      <c r="AF18" s="448"/>
      <c r="AG18" s="410"/>
      <c r="AH18" s="410"/>
      <c r="AI18" s="407"/>
      <c r="AJ18" s="407"/>
      <c r="AK18" s="50"/>
      <c r="AL18" s="408"/>
      <c r="AM18" s="407"/>
      <c r="AN18" s="50"/>
    </row>
    <row r="19" spans="1:47" s="190" customFormat="1" ht="60" x14ac:dyDescent="0.25">
      <c r="A19" s="447"/>
      <c r="B19" s="516"/>
      <c r="C19" s="98"/>
      <c r="D19" s="98">
        <v>1000148978</v>
      </c>
      <c r="E19" s="516"/>
      <c r="F19" s="108" t="s">
        <v>773</v>
      </c>
      <c r="G19" s="98">
        <v>9000555125</v>
      </c>
      <c r="H19" s="99">
        <v>45838</v>
      </c>
      <c r="I19" s="100" t="s">
        <v>773</v>
      </c>
      <c r="J19" s="104" t="s">
        <v>748</v>
      </c>
      <c r="K19" s="101">
        <v>0</v>
      </c>
      <c r="L19" s="106"/>
      <c r="M19" s="106"/>
      <c r="N19" s="98"/>
      <c r="O19" s="98"/>
      <c r="P19" s="98"/>
      <c r="Q19" s="100" t="s">
        <v>168</v>
      </c>
      <c r="R19" s="98" t="s">
        <v>476</v>
      </c>
      <c r="S19" s="101"/>
      <c r="T19" s="101"/>
      <c r="U19" s="448"/>
      <c r="V19" s="448"/>
      <c r="W19" s="448"/>
      <c r="X19" s="448"/>
      <c r="Y19" s="448"/>
      <c r="Z19" s="448"/>
      <c r="AA19" s="448"/>
      <c r="AB19" s="448"/>
      <c r="AC19" s="448"/>
      <c r="AD19" s="448"/>
      <c r="AE19" s="448"/>
      <c r="AF19" s="448"/>
      <c r="AG19" s="410"/>
      <c r="AH19" s="410"/>
      <c r="AI19" s="407"/>
      <c r="AJ19" s="407"/>
      <c r="AK19" s="50"/>
      <c r="AL19" s="408"/>
      <c r="AM19" s="407"/>
      <c r="AN19" s="50"/>
    </row>
    <row r="20" spans="1:47" s="190" customFormat="1" ht="120" x14ac:dyDescent="0.25">
      <c r="A20" s="447"/>
      <c r="B20" s="98" t="s">
        <v>61</v>
      </c>
      <c r="C20" s="98" t="s">
        <v>62</v>
      </c>
      <c r="D20" s="98">
        <v>201427403</v>
      </c>
      <c r="E20" s="98">
        <v>1000148978</v>
      </c>
      <c r="F20" s="108" t="s">
        <v>1338</v>
      </c>
      <c r="G20" s="98">
        <v>9000571817</v>
      </c>
      <c r="H20" s="99">
        <v>45945</v>
      </c>
      <c r="I20" s="100" t="s">
        <v>1338</v>
      </c>
      <c r="J20" s="104" t="s">
        <v>1066</v>
      </c>
      <c r="K20" s="434">
        <v>0</v>
      </c>
      <c r="L20" s="106"/>
      <c r="M20" s="106"/>
      <c r="N20" s="98"/>
      <c r="O20" s="98"/>
      <c r="P20" s="104"/>
      <c r="Q20" s="101" t="s">
        <v>476</v>
      </c>
      <c r="R20" s="101" t="s">
        <v>168</v>
      </c>
      <c r="S20" s="101"/>
      <c r="T20" s="101"/>
      <c r="U20" s="448"/>
      <c r="V20" s="448"/>
      <c r="W20" s="448"/>
      <c r="X20" s="448"/>
      <c r="Y20" s="448"/>
      <c r="Z20" s="448"/>
      <c r="AA20" s="448"/>
      <c r="AB20" s="448"/>
      <c r="AC20" s="448"/>
      <c r="AD20" s="448"/>
      <c r="AE20" s="448"/>
      <c r="AF20" s="448"/>
      <c r="AG20" s="410"/>
      <c r="AH20" s="410"/>
      <c r="AI20" s="407"/>
      <c r="AJ20" s="407"/>
      <c r="AK20" s="50"/>
      <c r="AL20" s="408"/>
      <c r="AM20" s="407"/>
      <c r="AN20" s="50"/>
    </row>
    <row r="21" spans="1:47" s="190" customFormat="1" ht="120" x14ac:dyDescent="0.25">
      <c r="A21" s="447"/>
      <c r="B21" s="98" t="s">
        <v>61</v>
      </c>
      <c r="C21" s="98" t="s">
        <v>62</v>
      </c>
      <c r="D21" s="98">
        <v>201427403</v>
      </c>
      <c r="E21" s="98">
        <v>1000148978</v>
      </c>
      <c r="F21" s="108" t="s">
        <v>1339</v>
      </c>
      <c r="G21" s="98">
        <v>9000576268</v>
      </c>
      <c r="H21" s="99" t="s">
        <v>1340</v>
      </c>
      <c r="I21" s="100" t="s">
        <v>1339</v>
      </c>
      <c r="J21" s="104" t="s">
        <v>1066</v>
      </c>
      <c r="K21" s="434">
        <v>0</v>
      </c>
      <c r="L21" s="106"/>
      <c r="M21" s="106"/>
      <c r="N21" s="98"/>
      <c r="O21" s="98"/>
      <c r="P21" s="104"/>
      <c r="Q21" s="101" t="s">
        <v>476</v>
      </c>
      <c r="R21" s="101" t="s">
        <v>168</v>
      </c>
      <c r="S21" s="101"/>
      <c r="T21" s="101"/>
      <c r="U21" s="448"/>
      <c r="V21" s="448"/>
      <c r="W21" s="448"/>
      <c r="X21" s="448"/>
      <c r="Y21" s="448"/>
      <c r="Z21" s="448"/>
      <c r="AA21" s="448"/>
      <c r="AB21" s="448"/>
      <c r="AC21" s="448"/>
      <c r="AD21" s="448"/>
      <c r="AE21" s="448"/>
      <c r="AF21" s="448"/>
      <c r="AG21" s="410"/>
      <c r="AH21" s="410"/>
      <c r="AI21" s="407"/>
      <c r="AJ21" s="407"/>
      <c r="AK21" s="50"/>
      <c r="AL21" s="408"/>
      <c r="AM21" s="407"/>
      <c r="AN21" s="50"/>
    </row>
    <row r="22" spans="1:47" s="190" customFormat="1" ht="120" x14ac:dyDescent="0.25">
      <c r="A22" s="447"/>
      <c r="B22" s="98" t="s">
        <v>61</v>
      </c>
      <c r="C22" s="98" t="s">
        <v>62</v>
      </c>
      <c r="D22" s="98">
        <v>201427403</v>
      </c>
      <c r="E22" s="98">
        <v>1000148978</v>
      </c>
      <c r="F22" s="108" t="s">
        <v>1341</v>
      </c>
      <c r="G22" s="98">
        <v>9000583116</v>
      </c>
      <c r="H22" s="99">
        <v>45979</v>
      </c>
      <c r="I22" s="100" t="s">
        <v>1342</v>
      </c>
      <c r="J22" s="104" t="s">
        <v>1066</v>
      </c>
      <c r="K22" s="434">
        <v>0</v>
      </c>
      <c r="L22" s="106"/>
      <c r="M22" s="106"/>
      <c r="N22" s="98" t="s">
        <v>1343</v>
      </c>
      <c r="O22" s="98"/>
      <c r="P22" s="104"/>
      <c r="Q22" s="101" t="s">
        <v>816</v>
      </c>
      <c r="R22" s="101" t="s">
        <v>168</v>
      </c>
      <c r="S22" s="101"/>
      <c r="T22" s="101"/>
      <c r="U22" s="448"/>
      <c r="V22" s="448"/>
      <c r="W22" s="448"/>
      <c r="X22" s="448"/>
      <c r="Y22" s="448"/>
      <c r="Z22" s="448"/>
      <c r="AA22" s="448"/>
      <c r="AB22" s="448"/>
      <c r="AC22" s="448"/>
      <c r="AD22" s="448"/>
      <c r="AE22" s="448"/>
      <c r="AF22" s="448"/>
      <c r="AG22" s="410"/>
      <c r="AH22" s="410"/>
      <c r="AI22" s="407"/>
      <c r="AJ22" s="407"/>
      <c r="AK22" s="50"/>
      <c r="AL22" s="408"/>
      <c r="AM22" s="407"/>
      <c r="AN22" s="50"/>
    </row>
    <row r="23" spans="1:47" s="190" customFormat="1" ht="120" x14ac:dyDescent="0.25">
      <c r="A23" s="447"/>
      <c r="B23" s="98" t="s">
        <v>61</v>
      </c>
      <c r="C23" s="98" t="s">
        <v>62</v>
      </c>
      <c r="D23" s="98">
        <v>201427403</v>
      </c>
      <c r="E23" s="98">
        <v>1000148978</v>
      </c>
      <c r="F23" s="108" t="s">
        <v>4485</v>
      </c>
      <c r="G23" s="98">
        <v>9000598359</v>
      </c>
      <c r="H23" s="99">
        <v>46016</v>
      </c>
      <c r="I23" s="100" t="s">
        <v>4486</v>
      </c>
      <c r="J23" s="104" t="s">
        <v>1066</v>
      </c>
      <c r="K23" s="434">
        <v>0</v>
      </c>
      <c r="L23" s="106"/>
      <c r="M23" s="106"/>
      <c r="N23" s="98"/>
      <c r="O23" s="98"/>
      <c r="P23" s="104"/>
      <c r="Q23" s="101" t="s">
        <v>476</v>
      </c>
      <c r="R23" s="101" t="s">
        <v>168</v>
      </c>
      <c r="S23" s="101"/>
      <c r="T23" s="101"/>
      <c r="U23" s="448"/>
      <c r="V23" s="448"/>
      <c r="W23" s="448"/>
      <c r="X23" s="448"/>
      <c r="Y23" s="448"/>
      <c r="Z23" s="448"/>
      <c r="AA23" s="448"/>
      <c r="AB23" s="448"/>
      <c r="AC23" s="448"/>
      <c r="AD23" s="448"/>
      <c r="AE23" s="448"/>
      <c r="AF23" s="448"/>
      <c r="AG23" s="410"/>
      <c r="AH23" s="410"/>
      <c r="AI23" s="407"/>
      <c r="AJ23" s="407"/>
      <c r="AK23" s="50"/>
      <c r="AL23" s="408"/>
      <c r="AM23" s="407"/>
      <c r="AN23" s="50"/>
    </row>
    <row r="24" spans="1:47" s="190" customFormat="1" ht="120" x14ac:dyDescent="0.25">
      <c r="A24" s="447"/>
      <c r="B24" s="98" t="s">
        <v>61</v>
      </c>
      <c r="C24" s="98" t="s">
        <v>62</v>
      </c>
      <c r="D24" s="98">
        <v>201427403</v>
      </c>
      <c r="E24" s="98">
        <v>1000148978</v>
      </c>
      <c r="F24" s="108" t="s">
        <v>4487</v>
      </c>
      <c r="G24" s="98" t="s">
        <v>4488</v>
      </c>
      <c r="H24" s="99">
        <v>46048</v>
      </c>
      <c r="I24" s="100" t="s">
        <v>4489</v>
      </c>
      <c r="J24" s="104" t="s">
        <v>1066</v>
      </c>
      <c r="K24" s="434">
        <v>0</v>
      </c>
      <c r="L24" s="106"/>
      <c r="M24" s="106"/>
      <c r="N24" s="98"/>
      <c r="O24" s="98"/>
      <c r="P24" s="104"/>
      <c r="Q24" s="101" t="s">
        <v>476</v>
      </c>
      <c r="R24" s="101" t="s">
        <v>168</v>
      </c>
      <c r="S24" s="101"/>
      <c r="T24" s="101"/>
      <c r="U24" s="448"/>
      <c r="V24" s="448"/>
      <c r="W24" s="448"/>
      <c r="X24" s="448"/>
      <c r="Y24" s="448"/>
      <c r="Z24" s="448"/>
      <c r="AA24" s="448"/>
      <c r="AB24" s="448"/>
      <c r="AC24" s="448"/>
      <c r="AD24" s="448"/>
      <c r="AE24" s="448"/>
      <c r="AF24" s="448"/>
      <c r="AG24" s="410"/>
      <c r="AH24" s="410"/>
      <c r="AI24" s="407"/>
      <c r="AJ24" s="407"/>
      <c r="AK24" s="50"/>
      <c r="AL24" s="408"/>
      <c r="AM24" s="407"/>
      <c r="AN24" s="50"/>
    </row>
    <row r="25" spans="1:47" s="190" customFormat="1" x14ac:dyDescent="0.25">
      <c r="A25" s="398"/>
      <c r="B25" s="8"/>
      <c r="C25" s="8"/>
      <c r="D25" s="8"/>
      <c r="E25" s="8"/>
      <c r="F25" s="191"/>
      <c r="G25" s="8"/>
      <c r="H25" s="38"/>
      <c r="I25" s="15"/>
      <c r="J25" s="6"/>
      <c r="K25" s="65"/>
      <c r="L25" s="259">
        <f>K18+K16</f>
        <v>73863505.890000001</v>
      </c>
      <c r="M25" s="259"/>
      <c r="N25" s="8"/>
      <c r="O25" s="8"/>
      <c r="P25" s="6"/>
      <c r="Q25" s="6"/>
      <c r="R25" s="6"/>
      <c r="S25" s="42">
        <f>L25-S16</f>
        <v>11482994.68</v>
      </c>
      <c r="T25" s="42"/>
      <c r="U25" s="42"/>
      <c r="V25" s="42"/>
      <c r="W25" s="42"/>
      <c r="X25" s="42"/>
      <c r="Y25" s="42"/>
      <c r="Z25" s="42"/>
      <c r="AA25" s="42"/>
      <c r="AB25" s="42"/>
      <c r="AC25" s="42"/>
      <c r="AD25" s="42"/>
      <c r="AE25" s="42"/>
      <c r="AF25" s="42"/>
      <c r="AG25" s="189"/>
      <c r="AH25" s="189"/>
      <c r="AI25" s="189"/>
      <c r="AJ25" s="189"/>
      <c r="AK25" s="109"/>
      <c r="AL25" s="189"/>
      <c r="AM25" s="189"/>
      <c r="AN25" s="109"/>
    </row>
    <row r="26" spans="1:47" s="190" customFormat="1" ht="137.25" customHeight="1" x14ac:dyDescent="0.25">
      <c r="A26" s="447">
        <v>1</v>
      </c>
      <c r="B26" s="98" t="s">
        <v>131</v>
      </c>
      <c r="C26" s="98" t="s">
        <v>132</v>
      </c>
      <c r="D26" s="98">
        <v>5042120323</v>
      </c>
      <c r="E26" s="98">
        <v>1000101535</v>
      </c>
      <c r="F26" s="108" t="s">
        <v>778</v>
      </c>
      <c r="G26" s="98">
        <v>8000742235</v>
      </c>
      <c r="H26" s="99">
        <v>45807</v>
      </c>
      <c r="I26" s="100" t="s">
        <v>779</v>
      </c>
      <c r="J26" s="104" t="s">
        <v>748</v>
      </c>
      <c r="K26" s="434">
        <v>154965524.40000001</v>
      </c>
      <c r="L26" s="106"/>
      <c r="M26" s="106"/>
      <c r="N26" s="98" t="s">
        <v>780</v>
      </c>
      <c r="O26" s="98"/>
      <c r="P26" s="104" t="s">
        <v>781</v>
      </c>
      <c r="Q26" s="100" t="s">
        <v>168</v>
      </c>
      <c r="R26" s="98" t="s">
        <v>476</v>
      </c>
      <c r="S26" s="101">
        <v>56961505.130000003</v>
      </c>
      <c r="T26" s="101">
        <v>66829197.439999998</v>
      </c>
      <c r="U26" s="101">
        <v>46489657.32</v>
      </c>
      <c r="V26" s="448"/>
      <c r="W26" s="448"/>
      <c r="X26" s="448"/>
      <c r="Y26" s="448"/>
      <c r="Z26" s="448"/>
      <c r="AA26" s="448"/>
      <c r="AB26" s="448"/>
      <c r="AC26" s="448"/>
      <c r="AD26" s="448"/>
      <c r="AE26" s="448"/>
      <c r="AF26" s="448"/>
      <c r="AG26" s="410"/>
      <c r="AH26" s="50" t="s">
        <v>1381</v>
      </c>
      <c r="AI26" s="407"/>
      <c r="AJ26" s="407" t="s">
        <v>1705</v>
      </c>
      <c r="AK26" s="50" t="s">
        <v>4607</v>
      </c>
      <c r="AL26" s="408" t="s">
        <v>1420</v>
      </c>
      <c r="AM26" s="28" t="s">
        <v>4491</v>
      </c>
      <c r="AN26" s="401" t="s">
        <v>4692</v>
      </c>
      <c r="AQ26" s="190">
        <v>1</v>
      </c>
      <c r="AU26" s="484" t="s">
        <v>4787</v>
      </c>
    </row>
    <row r="27" spans="1:47" s="190" customFormat="1" x14ac:dyDescent="0.25">
      <c r="A27" s="398"/>
      <c r="B27" s="8"/>
      <c r="C27" s="8"/>
      <c r="D27" s="8"/>
      <c r="E27" s="8"/>
      <c r="F27" s="191"/>
      <c r="G27" s="8"/>
      <c r="H27" s="38"/>
      <c r="I27" s="15"/>
      <c r="J27" s="6"/>
      <c r="K27" s="65"/>
      <c r="L27" s="259">
        <f>SUM(K26)</f>
        <v>154965524.40000001</v>
      </c>
      <c r="M27" s="259"/>
      <c r="N27" s="8"/>
      <c r="O27" s="8"/>
      <c r="P27" s="6"/>
      <c r="Q27" s="6"/>
      <c r="R27" s="6"/>
      <c r="S27" s="42">
        <f>L27-S26</f>
        <v>98004019.270000011</v>
      </c>
      <c r="T27" s="42"/>
      <c r="U27" s="42">
        <f>T26-U26</f>
        <v>20339540.119999997</v>
      </c>
      <c r="V27" s="42"/>
      <c r="W27" s="42"/>
      <c r="X27" s="42"/>
      <c r="Y27" s="42"/>
      <c r="Z27" s="42"/>
      <c r="AA27" s="42"/>
      <c r="AB27" s="42"/>
      <c r="AC27" s="42"/>
      <c r="AD27" s="42"/>
      <c r="AE27" s="42"/>
      <c r="AF27" s="42"/>
      <c r="AG27" s="189"/>
      <c r="AH27" s="189"/>
      <c r="AI27" s="189"/>
      <c r="AJ27" s="189"/>
      <c r="AK27" s="109"/>
      <c r="AL27" s="189"/>
      <c r="AM27" s="189"/>
      <c r="AN27" s="109"/>
    </row>
    <row r="28" spans="1:47" s="190" customFormat="1" ht="90" x14ac:dyDescent="0.25">
      <c r="A28" s="447">
        <v>1</v>
      </c>
      <c r="B28" s="98" t="s">
        <v>782</v>
      </c>
      <c r="C28" s="98">
        <v>1000119019</v>
      </c>
      <c r="D28" s="98">
        <v>2725129848</v>
      </c>
      <c r="E28" s="98">
        <v>1000119019</v>
      </c>
      <c r="F28" s="108" t="s">
        <v>784</v>
      </c>
      <c r="G28" s="98">
        <v>8000739708</v>
      </c>
      <c r="H28" s="99">
        <v>45813</v>
      </c>
      <c r="I28" s="100" t="s">
        <v>785</v>
      </c>
      <c r="J28" s="104" t="s">
        <v>748</v>
      </c>
      <c r="K28" s="434">
        <v>34728055.100000001</v>
      </c>
      <c r="L28" s="106"/>
      <c r="M28" s="106"/>
      <c r="N28" s="98" t="s">
        <v>786</v>
      </c>
      <c r="O28" s="98"/>
      <c r="P28" s="104" t="s">
        <v>787</v>
      </c>
      <c r="Q28" s="98" t="s">
        <v>168</v>
      </c>
      <c r="R28" s="98" t="s">
        <v>476</v>
      </c>
      <c r="S28" s="101">
        <v>30283583.09</v>
      </c>
      <c r="T28" s="101">
        <v>29683583.09</v>
      </c>
      <c r="U28" s="101">
        <v>3472805.51</v>
      </c>
      <c r="V28" s="448"/>
      <c r="W28" s="448"/>
      <c r="X28" s="448"/>
      <c r="Y28" s="448"/>
      <c r="Z28" s="448"/>
      <c r="AA28" s="448"/>
      <c r="AB28" s="448"/>
      <c r="AC28" s="448"/>
      <c r="AD28" s="448"/>
      <c r="AE28" s="448"/>
      <c r="AF28" s="448"/>
      <c r="AG28" s="410" t="s">
        <v>4693</v>
      </c>
      <c r="AH28" s="50" t="s">
        <v>1382</v>
      </c>
      <c r="AI28" s="407"/>
      <c r="AJ28" s="407" t="s">
        <v>1680</v>
      </c>
      <c r="AK28" s="50" t="s">
        <v>4608</v>
      </c>
      <c r="AL28" s="408" t="s">
        <v>1610</v>
      </c>
      <c r="AM28" s="28" t="s">
        <v>4492</v>
      </c>
      <c r="AN28" s="401" t="s">
        <v>4692</v>
      </c>
      <c r="AQ28" s="190">
        <v>1</v>
      </c>
      <c r="AU28" s="484" t="s">
        <v>4787</v>
      </c>
    </row>
    <row r="29" spans="1:47" s="190" customFormat="1" x14ac:dyDescent="0.25">
      <c r="A29" s="398"/>
      <c r="B29" s="8"/>
      <c r="C29" s="8"/>
      <c r="D29" s="8"/>
      <c r="E29" s="8"/>
      <c r="F29" s="191"/>
      <c r="G29" s="8"/>
      <c r="H29" s="38"/>
      <c r="I29" s="15"/>
      <c r="J29" s="6"/>
      <c r="K29" s="65"/>
      <c r="L29" s="259">
        <v>34728055.100000001</v>
      </c>
      <c r="M29" s="259"/>
      <c r="N29" s="8"/>
      <c r="O29" s="8"/>
      <c r="P29" s="6"/>
      <c r="Q29" s="6"/>
      <c r="R29" s="6"/>
      <c r="S29" s="42">
        <f>L29-S28</f>
        <v>4444472.0100000016</v>
      </c>
      <c r="T29" s="42"/>
      <c r="U29" s="42"/>
      <c r="V29" s="42"/>
      <c r="W29" s="42"/>
      <c r="X29" s="42"/>
      <c r="Y29" s="42"/>
      <c r="Z29" s="42"/>
      <c r="AA29" s="42"/>
      <c r="AB29" s="42"/>
      <c r="AC29" s="42"/>
      <c r="AD29" s="42"/>
      <c r="AE29" s="42"/>
      <c r="AF29" s="42"/>
      <c r="AG29" s="189"/>
      <c r="AH29" s="189"/>
      <c r="AI29" s="189"/>
      <c r="AJ29" s="189"/>
      <c r="AK29" s="109"/>
      <c r="AL29" s="189"/>
      <c r="AM29" s="189"/>
      <c r="AN29" s="109"/>
    </row>
    <row r="30" spans="1:47" s="190" customFormat="1" ht="117" customHeight="1" x14ac:dyDescent="0.25">
      <c r="A30" s="447">
        <v>1</v>
      </c>
      <c r="B30" s="98" t="s">
        <v>788</v>
      </c>
      <c r="C30" s="98" t="s">
        <v>789</v>
      </c>
      <c r="D30" s="98">
        <v>4217198667</v>
      </c>
      <c r="E30" s="98">
        <v>1000183495</v>
      </c>
      <c r="F30" s="108" t="s">
        <v>790</v>
      </c>
      <c r="G30" s="98">
        <v>8000740473</v>
      </c>
      <c r="H30" s="99">
        <v>45839</v>
      </c>
      <c r="I30" s="100" t="s">
        <v>791</v>
      </c>
      <c r="J30" s="104" t="s">
        <v>748</v>
      </c>
      <c r="K30" s="434">
        <v>74070667.329999998</v>
      </c>
      <c r="L30" s="106"/>
      <c r="M30" s="106"/>
      <c r="N30" s="98" t="s">
        <v>792</v>
      </c>
      <c r="O30" s="98"/>
      <c r="P30" s="104" t="s">
        <v>793</v>
      </c>
      <c r="Q30" s="100" t="s">
        <v>168</v>
      </c>
      <c r="R30" s="98" t="s">
        <v>476</v>
      </c>
      <c r="S30" s="101">
        <v>60851608.799999997</v>
      </c>
      <c r="T30" s="101">
        <v>42383700.350000001</v>
      </c>
      <c r="U30" s="101">
        <v>3000000</v>
      </c>
      <c r="V30" s="101"/>
      <c r="W30" s="101"/>
      <c r="X30" s="101"/>
      <c r="Y30" s="101"/>
      <c r="Z30" s="101"/>
      <c r="AA30" s="101"/>
      <c r="AB30" s="101"/>
      <c r="AC30" s="101"/>
      <c r="AD30" s="101"/>
      <c r="AE30" s="101"/>
      <c r="AF30" s="101"/>
      <c r="AG30" s="410" t="s">
        <v>4694</v>
      </c>
      <c r="AH30" s="50" t="s">
        <v>4695</v>
      </c>
      <c r="AI30" s="407" t="s">
        <v>1598</v>
      </c>
      <c r="AJ30" s="407" t="s">
        <v>1666</v>
      </c>
      <c r="AK30" s="50" t="s">
        <v>4696</v>
      </c>
      <c r="AL30" s="408" t="s">
        <v>1072</v>
      </c>
      <c r="AM30" s="28" t="s">
        <v>4586</v>
      </c>
      <c r="AN30" s="464" t="s">
        <v>4697</v>
      </c>
      <c r="AR30" s="190">
        <v>1</v>
      </c>
      <c r="AU30" s="484" t="s">
        <v>4787</v>
      </c>
    </row>
    <row r="31" spans="1:47" s="190" customFormat="1" ht="68.25" customHeight="1" x14ac:dyDescent="0.25">
      <c r="A31" s="447"/>
      <c r="B31" s="98" t="s">
        <v>788</v>
      </c>
      <c r="C31" s="98" t="s">
        <v>789</v>
      </c>
      <c r="D31" s="98">
        <v>4217198667</v>
      </c>
      <c r="E31" s="98">
        <v>1000183495</v>
      </c>
      <c r="F31" s="108" t="s">
        <v>935</v>
      </c>
      <c r="G31" s="98">
        <v>9000557675</v>
      </c>
      <c r="H31" s="99">
        <v>45869</v>
      </c>
      <c r="I31" s="100" t="s">
        <v>936</v>
      </c>
      <c r="J31" s="104" t="s">
        <v>748</v>
      </c>
      <c r="K31" s="434">
        <v>0</v>
      </c>
      <c r="L31" s="106"/>
      <c r="M31" s="106"/>
      <c r="N31" s="98" t="s">
        <v>937</v>
      </c>
      <c r="O31" s="98"/>
      <c r="P31" s="104" t="s">
        <v>938</v>
      </c>
      <c r="Q31" s="100" t="s">
        <v>168</v>
      </c>
      <c r="R31" s="98" t="s">
        <v>476</v>
      </c>
      <c r="S31" s="410"/>
      <c r="T31" s="410"/>
      <c r="U31" s="410"/>
      <c r="V31" s="101"/>
      <c r="W31" s="101"/>
      <c r="X31" s="101"/>
      <c r="Y31" s="101"/>
      <c r="Z31" s="101"/>
      <c r="AA31" s="101"/>
      <c r="AB31" s="101"/>
      <c r="AC31" s="101"/>
      <c r="AD31" s="101"/>
      <c r="AE31" s="101"/>
      <c r="AF31" s="101"/>
      <c r="AG31" s="410"/>
      <c r="AH31" s="410"/>
      <c r="AI31" s="407"/>
      <c r="AJ31" s="407"/>
      <c r="AK31" s="50"/>
      <c r="AL31" s="408"/>
      <c r="AM31" s="28"/>
      <c r="AN31" s="50"/>
    </row>
    <row r="32" spans="1:47" s="190" customFormat="1" ht="68.25" customHeight="1" x14ac:dyDescent="0.25">
      <c r="A32" s="447"/>
      <c r="B32" s="98" t="s">
        <v>788</v>
      </c>
      <c r="C32" s="98" t="s">
        <v>789</v>
      </c>
      <c r="D32" s="98">
        <v>4217198667</v>
      </c>
      <c r="E32" s="98">
        <v>1000183495</v>
      </c>
      <c r="F32" s="108" t="s">
        <v>4493</v>
      </c>
      <c r="G32" s="98">
        <v>9000598600</v>
      </c>
      <c r="H32" s="99">
        <v>45869</v>
      </c>
      <c r="I32" s="100" t="s">
        <v>4494</v>
      </c>
      <c r="J32" s="104" t="s">
        <v>748</v>
      </c>
      <c r="K32" s="434">
        <v>0</v>
      </c>
      <c r="L32" s="106"/>
      <c r="M32" s="106"/>
      <c r="N32" s="98" t="s">
        <v>4495</v>
      </c>
      <c r="O32" s="98"/>
      <c r="P32" s="104" t="s">
        <v>938</v>
      </c>
      <c r="Q32" s="100" t="s">
        <v>168</v>
      </c>
      <c r="R32" s="98" t="s">
        <v>476</v>
      </c>
      <c r="S32" s="410"/>
      <c r="T32" s="410"/>
      <c r="U32" s="410"/>
      <c r="V32" s="101"/>
      <c r="W32" s="101"/>
      <c r="X32" s="101"/>
      <c r="Y32" s="101"/>
      <c r="Z32" s="101"/>
      <c r="AA32" s="101"/>
      <c r="AB32" s="101"/>
      <c r="AC32" s="101"/>
      <c r="AD32" s="101"/>
      <c r="AE32" s="101"/>
      <c r="AF32" s="101"/>
      <c r="AG32" s="410"/>
      <c r="AH32" s="410"/>
      <c r="AI32" s="407"/>
      <c r="AJ32" s="407"/>
      <c r="AK32" s="50"/>
      <c r="AL32" s="408"/>
      <c r="AM32" s="28"/>
      <c r="AN32" s="50"/>
    </row>
    <row r="33" spans="1:47" s="190" customFormat="1" x14ac:dyDescent="0.25">
      <c r="A33" s="398"/>
      <c r="B33" s="8"/>
      <c r="C33" s="8"/>
      <c r="D33" s="8"/>
      <c r="E33" s="8"/>
      <c r="F33" s="191"/>
      <c r="G33" s="8"/>
      <c r="H33" s="38"/>
      <c r="I33" s="15"/>
      <c r="J33" s="6"/>
      <c r="K33" s="65"/>
      <c r="L33" s="259">
        <f>K30+K31</f>
        <v>74070667.329999998</v>
      </c>
      <c r="M33" s="259"/>
      <c r="N33" s="8"/>
      <c r="O33" s="8"/>
      <c r="P33" s="6"/>
      <c r="Q33" s="6"/>
      <c r="R33" s="6"/>
      <c r="S33" s="42">
        <f>L33-S30</f>
        <v>13219058.530000001</v>
      </c>
      <c r="T33" s="42"/>
      <c r="U33" s="42"/>
      <c r="V33" s="42"/>
      <c r="W33" s="42"/>
      <c r="X33" s="42"/>
      <c r="Y33" s="42"/>
      <c r="Z33" s="42"/>
      <c r="AA33" s="42"/>
      <c r="AB33" s="42"/>
      <c r="AC33" s="42"/>
      <c r="AD33" s="42"/>
      <c r="AE33" s="42"/>
      <c r="AF33" s="42"/>
      <c r="AG33" s="189"/>
      <c r="AH33" s="189"/>
      <c r="AI33" s="189"/>
      <c r="AJ33" s="189"/>
      <c r="AK33" s="109"/>
      <c r="AL33" s="189"/>
      <c r="AM33" s="189"/>
      <c r="AN33" s="109"/>
    </row>
    <row r="34" spans="1:47" s="190" customFormat="1" ht="102.75" customHeight="1" x14ac:dyDescent="0.25">
      <c r="A34" s="447">
        <v>1</v>
      </c>
      <c r="B34" s="98" t="s">
        <v>699</v>
      </c>
      <c r="C34" s="98" t="s">
        <v>700</v>
      </c>
      <c r="D34" s="98">
        <v>2721193803</v>
      </c>
      <c r="E34" s="98">
        <v>1000176908</v>
      </c>
      <c r="F34" s="108" t="s">
        <v>4496</v>
      </c>
      <c r="G34" s="98">
        <v>8000752550</v>
      </c>
      <c r="H34" s="99">
        <v>45859</v>
      </c>
      <c r="I34" s="100" t="s">
        <v>950</v>
      </c>
      <c r="J34" s="104" t="s">
        <v>951</v>
      </c>
      <c r="K34" s="434">
        <v>13954790.210000001</v>
      </c>
      <c r="L34" s="106"/>
      <c r="M34" s="106"/>
      <c r="N34" s="98" t="s">
        <v>952</v>
      </c>
      <c r="O34" s="98"/>
      <c r="P34" s="104" t="s">
        <v>705</v>
      </c>
      <c r="Q34" s="100" t="s">
        <v>13</v>
      </c>
      <c r="R34" s="98" t="s">
        <v>706</v>
      </c>
      <c r="S34" s="101">
        <v>1402232.4</v>
      </c>
      <c r="T34" s="101">
        <v>4587913.38</v>
      </c>
      <c r="U34" s="101">
        <v>4186437.06</v>
      </c>
      <c r="V34" s="101"/>
      <c r="W34" s="101"/>
      <c r="X34" s="101"/>
      <c r="Y34" s="101"/>
      <c r="Z34" s="101"/>
      <c r="AA34" s="101"/>
      <c r="AB34" s="101"/>
      <c r="AC34" s="101"/>
      <c r="AD34" s="101"/>
      <c r="AE34" s="101"/>
      <c r="AF34" s="101"/>
      <c r="AG34" s="410" t="s">
        <v>4698</v>
      </c>
      <c r="AH34" s="50" t="s">
        <v>1383</v>
      </c>
      <c r="AI34" s="407"/>
      <c r="AJ34" s="407" t="s">
        <v>1680</v>
      </c>
      <c r="AK34" s="50" t="s">
        <v>4699</v>
      </c>
      <c r="AL34" s="411" t="s">
        <v>1421</v>
      </c>
      <c r="AM34" s="28" t="s">
        <v>4588</v>
      </c>
      <c r="AN34" s="401" t="s">
        <v>4692</v>
      </c>
      <c r="AQ34" s="190">
        <v>1</v>
      </c>
    </row>
    <row r="35" spans="1:47" s="190" customFormat="1" x14ac:dyDescent="0.25">
      <c r="A35" s="398"/>
      <c r="B35" s="8"/>
      <c r="C35" s="8"/>
      <c r="D35" s="8"/>
      <c r="E35" s="8"/>
      <c r="F35" s="191"/>
      <c r="G35" s="8"/>
      <c r="H35" s="38"/>
      <c r="I35" s="15"/>
      <c r="J35" s="6"/>
      <c r="K35" s="65"/>
      <c r="L35" s="259">
        <v>13954790.210000001</v>
      </c>
      <c r="M35" s="259"/>
      <c r="N35" s="8"/>
      <c r="O35" s="8"/>
      <c r="P35" s="6"/>
      <c r="Q35" s="6"/>
      <c r="R35" s="6"/>
      <c r="S35" s="42">
        <f>L35-S34</f>
        <v>12552557.810000001</v>
      </c>
      <c r="T35" s="42"/>
      <c r="U35" s="42">
        <f>T34-S34</f>
        <v>3185680.98</v>
      </c>
      <c r="V35" s="42"/>
      <c r="W35" s="42"/>
      <c r="X35" s="42"/>
      <c r="Y35" s="42"/>
      <c r="Z35" s="42"/>
      <c r="AA35" s="42"/>
      <c r="AB35" s="42"/>
      <c r="AC35" s="42"/>
      <c r="AD35" s="42"/>
      <c r="AE35" s="42"/>
      <c r="AF35" s="42"/>
      <c r="AG35" s="189"/>
      <c r="AH35" s="189"/>
      <c r="AI35" s="189"/>
      <c r="AJ35" s="189"/>
      <c r="AK35" s="109"/>
      <c r="AL35" s="189"/>
      <c r="AM35" s="189"/>
      <c r="AN35" s="109"/>
    </row>
    <row r="36" spans="1:47" s="190" customFormat="1" ht="240" x14ac:dyDescent="0.25">
      <c r="A36" s="447">
        <v>1</v>
      </c>
      <c r="B36" s="98" t="s">
        <v>849</v>
      </c>
      <c r="C36" s="98" t="s">
        <v>850</v>
      </c>
      <c r="D36" s="98">
        <v>2453012311</v>
      </c>
      <c r="E36" s="98">
        <v>1000094590</v>
      </c>
      <c r="F36" s="108" t="s">
        <v>948</v>
      </c>
      <c r="G36" s="98">
        <v>8000749528</v>
      </c>
      <c r="H36" s="99">
        <v>45846</v>
      </c>
      <c r="I36" s="100" t="s">
        <v>953</v>
      </c>
      <c r="J36" s="104" t="s">
        <v>951</v>
      </c>
      <c r="K36" s="434">
        <v>40781812.909999996</v>
      </c>
      <c r="L36" s="106"/>
      <c r="M36" s="106"/>
      <c r="N36" s="98" t="s">
        <v>954</v>
      </c>
      <c r="O36" s="98"/>
      <c r="P36" s="104" t="s">
        <v>955</v>
      </c>
      <c r="Q36" s="100" t="s">
        <v>13</v>
      </c>
      <c r="R36" s="98" t="s">
        <v>476</v>
      </c>
      <c r="S36" s="101">
        <v>0</v>
      </c>
      <c r="T36" s="101">
        <v>12234543.869999999</v>
      </c>
      <c r="U36" s="101">
        <v>12234543.869999999</v>
      </c>
      <c r="V36" s="101"/>
      <c r="W36" s="101"/>
      <c r="X36" s="101"/>
      <c r="Y36" s="101"/>
      <c r="Z36" s="101"/>
      <c r="AA36" s="101"/>
      <c r="AB36" s="101"/>
      <c r="AC36" s="101"/>
      <c r="AD36" s="101"/>
      <c r="AE36" s="101"/>
      <c r="AF36" s="101"/>
      <c r="AG36" s="410"/>
      <c r="AH36" s="50" t="s">
        <v>1384</v>
      </c>
      <c r="AI36" s="407"/>
      <c r="AJ36" s="407"/>
      <c r="AK36" s="50" t="s">
        <v>4700</v>
      </c>
      <c r="AL36" s="408" t="s">
        <v>1422</v>
      </c>
      <c r="AM36" s="28" t="s">
        <v>4587</v>
      </c>
      <c r="AN36" s="464" t="s">
        <v>4701</v>
      </c>
      <c r="AR36" s="190">
        <v>1</v>
      </c>
      <c r="AU36" s="484" t="s">
        <v>4787</v>
      </c>
    </row>
    <row r="37" spans="1:47" s="190" customFormat="1" x14ac:dyDescent="0.25">
      <c r="A37" s="398"/>
      <c r="B37" s="8"/>
      <c r="C37" s="8"/>
      <c r="D37" s="8"/>
      <c r="E37" s="8"/>
      <c r="F37" s="191"/>
      <c r="G37" s="8"/>
      <c r="H37" s="38"/>
      <c r="I37" s="15"/>
      <c r="J37" s="6"/>
      <c r="K37" s="65"/>
      <c r="L37" s="259">
        <v>40781812.909999996</v>
      </c>
      <c r="M37" s="259"/>
      <c r="N37" s="8"/>
      <c r="O37" s="8"/>
      <c r="P37" s="6"/>
      <c r="Q37" s="6"/>
      <c r="R37" s="6"/>
      <c r="S37" s="42">
        <f>L37-S36</f>
        <v>40781812.909999996</v>
      </c>
      <c r="T37" s="42"/>
      <c r="U37" s="42"/>
      <c r="V37" s="42"/>
      <c r="W37" s="42"/>
      <c r="X37" s="42"/>
      <c r="Y37" s="42"/>
      <c r="Z37" s="42"/>
      <c r="AA37" s="42"/>
      <c r="AB37" s="42"/>
      <c r="AC37" s="42"/>
      <c r="AD37" s="42"/>
      <c r="AE37" s="42"/>
      <c r="AF37" s="42"/>
      <c r="AG37" s="189"/>
      <c r="AH37" s="189"/>
      <c r="AI37" s="189"/>
      <c r="AJ37" s="189"/>
      <c r="AK37" s="109"/>
      <c r="AL37" s="189"/>
      <c r="AM37" s="189"/>
      <c r="AN37" s="109"/>
    </row>
    <row r="38" spans="1:47" s="190" customFormat="1" ht="141.75" customHeight="1" x14ac:dyDescent="0.25">
      <c r="A38" s="447">
        <v>1</v>
      </c>
      <c r="B38" s="98" t="s">
        <v>131</v>
      </c>
      <c r="C38" s="98" t="s">
        <v>132</v>
      </c>
      <c r="D38" s="98">
        <v>5042120323</v>
      </c>
      <c r="E38" s="98">
        <v>1000101535</v>
      </c>
      <c r="F38" s="108" t="s">
        <v>949</v>
      </c>
      <c r="G38" s="98">
        <v>8000752543</v>
      </c>
      <c r="H38" s="99">
        <v>45846</v>
      </c>
      <c r="I38" s="412" t="s">
        <v>775</v>
      </c>
      <c r="J38" s="104" t="s">
        <v>956</v>
      </c>
      <c r="K38" s="434">
        <v>105065191.2</v>
      </c>
      <c r="L38" s="106"/>
      <c r="M38" s="106"/>
      <c r="N38" s="98" t="s">
        <v>957</v>
      </c>
      <c r="O38" s="98"/>
      <c r="P38" s="104" t="s">
        <v>958</v>
      </c>
      <c r="Q38" s="100" t="s">
        <v>168</v>
      </c>
      <c r="R38" s="98" t="s">
        <v>873</v>
      </c>
      <c r="S38" s="101">
        <v>0</v>
      </c>
      <c r="T38" s="101">
        <v>31519557.359999999</v>
      </c>
      <c r="U38" s="101">
        <v>31519557.359999999</v>
      </c>
      <c r="V38" s="101"/>
      <c r="W38" s="101"/>
      <c r="X38" s="101"/>
      <c r="Y38" s="101"/>
      <c r="Z38" s="101"/>
      <c r="AA38" s="101"/>
      <c r="AB38" s="101"/>
      <c r="AC38" s="101"/>
      <c r="AD38" s="101"/>
      <c r="AE38" s="101"/>
      <c r="AF38" s="101"/>
      <c r="AG38" s="410" t="s">
        <v>1149</v>
      </c>
      <c r="AH38" s="50" t="s">
        <v>1381</v>
      </c>
      <c r="AI38" s="407"/>
      <c r="AJ38" s="407" t="s">
        <v>4461</v>
      </c>
      <c r="AK38" s="50" t="s">
        <v>4605</v>
      </c>
      <c r="AL38" s="408" t="s">
        <v>1423</v>
      </c>
      <c r="AM38" s="28" t="s">
        <v>4590</v>
      </c>
      <c r="AN38" s="401" t="s">
        <v>4692</v>
      </c>
      <c r="AQ38" s="190">
        <v>1</v>
      </c>
      <c r="AU38" s="484" t="s">
        <v>4787</v>
      </c>
    </row>
    <row r="39" spans="1:47" s="190" customFormat="1" x14ac:dyDescent="0.25">
      <c r="A39" s="398"/>
      <c r="B39" s="8"/>
      <c r="C39" s="8"/>
      <c r="D39" s="8"/>
      <c r="E39" s="8"/>
      <c r="F39" s="191"/>
      <c r="G39" s="8"/>
      <c r="H39" s="38"/>
      <c r="I39" s="15"/>
      <c r="J39" s="6"/>
      <c r="K39" s="65"/>
      <c r="L39" s="259">
        <f>K38+L38</f>
        <v>105065191.2</v>
      </c>
      <c r="M39" s="259"/>
      <c r="N39" s="8"/>
      <c r="O39" s="8"/>
      <c r="P39" s="6"/>
      <c r="Q39" s="6"/>
      <c r="R39" s="6"/>
      <c r="S39" s="42">
        <f>L39-S38</f>
        <v>105065191.2</v>
      </c>
      <c r="T39" s="42"/>
      <c r="U39" s="42"/>
      <c r="V39" s="42"/>
      <c r="W39" s="42"/>
      <c r="X39" s="42"/>
      <c r="Y39" s="42"/>
      <c r="Z39" s="42"/>
      <c r="AA39" s="42"/>
      <c r="AB39" s="42"/>
      <c r="AC39" s="42"/>
      <c r="AD39" s="42"/>
      <c r="AE39" s="42"/>
      <c r="AF39" s="42"/>
      <c r="AG39" s="189"/>
      <c r="AH39" s="189"/>
      <c r="AI39" s="189"/>
      <c r="AJ39" s="189"/>
      <c r="AK39" s="109"/>
      <c r="AL39" s="189"/>
      <c r="AM39" s="189"/>
      <c r="AN39" s="109"/>
    </row>
    <row r="40" spans="1:47" s="190" customFormat="1" ht="162.75" customHeight="1" x14ac:dyDescent="0.25">
      <c r="A40" s="447">
        <v>1</v>
      </c>
      <c r="B40" s="98" t="s">
        <v>1063</v>
      </c>
      <c r="C40" s="98" t="s">
        <v>1064</v>
      </c>
      <c r="D40" s="98">
        <v>6454112034</v>
      </c>
      <c r="E40" s="98">
        <v>1000167832</v>
      </c>
      <c r="F40" s="98" t="s">
        <v>1065</v>
      </c>
      <c r="G40" s="98">
        <v>8000769858</v>
      </c>
      <c r="H40" s="99">
        <v>45922</v>
      </c>
      <c r="I40" s="100" t="s">
        <v>1451</v>
      </c>
      <c r="J40" s="104" t="s">
        <v>956</v>
      </c>
      <c r="K40" s="434">
        <v>7440930.9100000001</v>
      </c>
      <c r="L40" s="106"/>
      <c r="M40" s="106"/>
      <c r="N40" s="98" t="s">
        <v>1067</v>
      </c>
      <c r="O40" s="98"/>
      <c r="P40" s="100" t="s">
        <v>1068</v>
      </c>
      <c r="Q40" s="100" t="s">
        <v>13</v>
      </c>
      <c r="R40" s="98" t="s">
        <v>476</v>
      </c>
      <c r="S40" s="101">
        <v>20927621.699999999</v>
      </c>
      <c r="T40" s="101">
        <v>20927621.699999999</v>
      </c>
      <c r="U40" s="101">
        <v>2232279.2599999998</v>
      </c>
      <c r="V40" s="101"/>
      <c r="W40" s="101"/>
      <c r="X40" s="101"/>
      <c r="Y40" s="101"/>
      <c r="Z40" s="101"/>
      <c r="AA40" s="101"/>
      <c r="AB40" s="101"/>
      <c r="AC40" s="101"/>
      <c r="AD40" s="101"/>
      <c r="AE40" s="101"/>
      <c r="AF40" s="101"/>
      <c r="AG40" s="410" t="s">
        <v>1162</v>
      </c>
      <c r="AH40" s="50" t="s">
        <v>4702</v>
      </c>
      <c r="AI40" s="407"/>
      <c r="AJ40" s="407" t="s">
        <v>1681</v>
      </c>
      <c r="AK40" s="50" t="s">
        <v>4609</v>
      </c>
      <c r="AL40" s="408" t="s">
        <v>601</v>
      </c>
      <c r="AM40" s="28" t="s">
        <v>4497</v>
      </c>
      <c r="AN40" s="463" t="s">
        <v>4651</v>
      </c>
      <c r="AS40" s="190">
        <v>1</v>
      </c>
      <c r="AU40" s="484" t="s">
        <v>4787</v>
      </c>
    </row>
    <row r="41" spans="1:47" s="190" customFormat="1" ht="60" x14ac:dyDescent="0.25">
      <c r="A41" s="447"/>
      <c r="B41" s="98" t="s">
        <v>1063</v>
      </c>
      <c r="C41" s="98" t="s">
        <v>1064</v>
      </c>
      <c r="D41" s="98">
        <v>6454112034</v>
      </c>
      <c r="E41" s="98">
        <v>1000167832</v>
      </c>
      <c r="F41" s="100" t="s">
        <v>1069</v>
      </c>
      <c r="G41" s="98">
        <v>9000572723</v>
      </c>
      <c r="H41" s="99">
        <v>45953</v>
      </c>
      <c r="I41" s="100" t="s">
        <v>115</v>
      </c>
      <c r="J41" s="104"/>
      <c r="K41" s="434">
        <v>11740135.869999999</v>
      </c>
      <c r="L41" s="106"/>
      <c r="M41" s="106"/>
      <c r="N41" s="98" t="s">
        <v>1070</v>
      </c>
      <c r="O41" s="98"/>
      <c r="P41" s="100" t="s">
        <v>1071</v>
      </c>
      <c r="Q41" s="100" t="s">
        <v>13</v>
      </c>
      <c r="R41" s="98" t="s">
        <v>476</v>
      </c>
      <c r="S41" s="410"/>
      <c r="T41" s="410"/>
      <c r="U41" s="410"/>
      <c r="V41" s="101"/>
      <c r="W41" s="101"/>
      <c r="X41" s="101"/>
      <c r="Y41" s="101"/>
      <c r="Z41" s="101"/>
      <c r="AA41" s="101"/>
      <c r="AB41" s="101"/>
      <c r="AC41" s="101"/>
      <c r="AD41" s="101"/>
      <c r="AE41" s="101"/>
      <c r="AF41" s="101"/>
      <c r="AG41" s="410"/>
      <c r="AH41" s="50"/>
      <c r="AI41" s="407"/>
      <c r="AJ41" s="407"/>
      <c r="AK41" s="50"/>
      <c r="AL41" s="408"/>
      <c r="AM41" s="28"/>
      <c r="AN41" s="50"/>
    </row>
    <row r="42" spans="1:47" s="190" customFormat="1" ht="60" x14ac:dyDescent="0.25">
      <c r="A42" s="447"/>
      <c r="B42" s="98" t="s">
        <v>1063</v>
      </c>
      <c r="C42" s="98" t="s">
        <v>1064</v>
      </c>
      <c r="D42" s="98">
        <v>1000167832</v>
      </c>
      <c r="E42" s="98">
        <v>6454112034</v>
      </c>
      <c r="F42" s="100" t="s">
        <v>1428</v>
      </c>
      <c r="G42" s="98">
        <v>9000597494</v>
      </c>
      <c r="H42" s="99" t="s">
        <v>1429</v>
      </c>
      <c r="I42" s="100" t="s">
        <v>1430</v>
      </c>
      <c r="J42" s="104" t="s">
        <v>1066</v>
      </c>
      <c r="K42" s="434">
        <v>1746554.91</v>
      </c>
      <c r="L42" s="106"/>
      <c r="M42" s="106"/>
      <c r="N42" s="98" t="s">
        <v>1431</v>
      </c>
      <c r="O42" s="98"/>
      <c r="P42" s="100" t="s">
        <v>1432</v>
      </c>
      <c r="Q42" s="100" t="s">
        <v>476</v>
      </c>
      <c r="R42" s="98" t="s">
        <v>13</v>
      </c>
      <c r="S42" s="410"/>
      <c r="T42" s="410"/>
      <c r="U42" s="410"/>
      <c r="V42" s="101"/>
      <c r="W42" s="101"/>
      <c r="X42" s="101"/>
      <c r="Y42" s="101"/>
      <c r="Z42" s="101"/>
      <c r="AA42" s="101"/>
      <c r="AB42" s="101"/>
      <c r="AC42" s="101"/>
      <c r="AD42" s="101"/>
      <c r="AE42" s="101"/>
      <c r="AF42" s="101"/>
      <c r="AG42" s="410"/>
      <c r="AH42" s="50"/>
      <c r="AI42" s="407"/>
      <c r="AJ42" s="407"/>
      <c r="AK42" s="50"/>
      <c r="AL42" s="408"/>
      <c r="AM42" s="28"/>
      <c r="AN42" s="50"/>
    </row>
    <row r="43" spans="1:47" s="190" customFormat="1" x14ac:dyDescent="0.25">
      <c r="A43" s="398"/>
      <c r="B43" s="8"/>
      <c r="C43" s="8"/>
      <c r="D43" s="8"/>
      <c r="E43" s="8"/>
      <c r="F43" s="191"/>
      <c r="G43" s="8"/>
      <c r="H43" s="38"/>
      <c r="I43" s="15"/>
      <c r="J43" s="6"/>
      <c r="K43" s="65"/>
      <c r="L43" s="259">
        <f>SUM(K40:K42)</f>
        <v>20927621.690000001</v>
      </c>
      <c r="M43" s="259"/>
      <c r="N43" s="8"/>
      <c r="O43" s="8"/>
      <c r="P43" s="6"/>
      <c r="Q43" s="6"/>
      <c r="R43" s="6"/>
      <c r="S43" s="42">
        <f>L43-S40</f>
        <v>-9.9999979138374329E-3</v>
      </c>
      <c r="T43" s="42"/>
      <c r="U43" s="42"/>
      <c r="V43" s="42"/>
      <c r="W43" s="42"/>
      <c r="X43" s="42"/>
      <c r="Y43" s="42"/>
      <c r="Z43" s="42"/>
      <c r="AA43" s="42"/>
      <c r="AB43" s="42"/>
      <c r="AC43" s="42"/>
      <c r="AD43" s="42"/>
      <c r="AE43" s="42"/>
      <c r="AF43" s="42"/>
      <c r="AG43" s="189"/>
      <c r="AH43" s="189"/>
      <c r="AI43" s="189"/>
      <c r="AJ43" s="189"/>
      <c r="AK43" s="109"/>
      <c r="AL43" s="189"/>
      <c r="AM43" s="189"/>
      <c r="AN43" s="109"/>
    </row>
    <row r="44" spans="1:47" s="190" customFormat="1" ht="165" customHeight="1" x14ac:dyDescent="0.25">
      <c r="A44" s="447">
        <v>1</v>
      </c>
      <c r="B44" s="98" t="s">
        <v>979</v>
      </c>
      <c r="C44" s="98" t="s">
        <v>980</v>
      </c>
      <c r="D44" s="98">
        <v>266051733</v>
      </c>
      <c r="E44" s="98">
        <v>1000185654</v>
      </c>
      <c r="F44" s="98" t="s">
        <v>981</v>
      </c>
      <c r="G44" s="98">
        <v>8000763460</v>
      </c>
      <c r="H44" s="99">
        <v>45897</v>
      </c>
      <c r="I44" s="100" t="s">
        <v>982</v>
      </c>
      <c r="J44" s="104" t="s">
        <v>956</v>
      </c>
      <c r="K44" s="434">
        <v>53132366.270000003</v>
      </c>
      <c r="L44" s="106"/>
      <c r="M44" s="106"/>
      <c r="N44" s="98" t="s">
        <v>983</v>
      </c>
      <c r="O44" s="98"/>
      <c r="P44" s="100" t="s">
        <v>984</v>
      </c>
      <c r="Q44" s="100" t="s">
        <v>881</v>
      </c>
      <c r="R44" s="98" t="s">
        <v>873</v>
      </c>
      <c r="S44" s="101">
        <v>35975238.299999997</v>
      </c>
      <c r="T44" s="101">
        <v>35975238.299999997</v>
      </c>
      <c r="U44" s="101">
        <v>0</v>
      </c>
      <c r="V44" s="50"/>
      <c r="W44" s="50"/>
      <c r="X44" s="50"/>
      <c r="Y44" s="50"/>
      <c r="Z44" s="50"/>
      <c r="AA44" s="28"/>
      <c r="AB44" s="57" t="s">
        <v>262</v>
      </c>
      <c r="AC44" s="400" t="s">
        <v>1541</v>
      </c>
      <c r="AD44" s="400" t="s">
        <v>1540</v>
      </c>
      <c r="AE44" s="408" t="s">
        <v>1101</v>
      </c>
      <c r="AF44" s="28"/>
      <c r="AG44" s="28" t="s">
        <v>4703</v>
      </c>
      <c r="AH44" s="50" t="s">
        <v>1388</v>
      </c>
      <c r="AI44" s="50" t="s">
        <v>1587</v>
      </c>
      <c r="AJ44" s="50" t="s">
        <v>1688</v>
      </c>
      <c r="AK44" s="50" t="s">
        <v>4704</v>
      </c>
      <c r="AL44" s="408" t="s">
        <v>4498</v>
      </c>
      <c r="AM44" s="28" t="s">
        <v>4499</v>
      </c>
      <c r="AN44" s="462" t="s">
        <v>4642</v>
      </c>
      <c r="AP44" s="190">
        <v>1</v>
      </c>
      <c r="AU44" s="484" t="s">
        <v>4787</v>
      </c>
    </row>
    <row r="45" spans="1:47" s="190" customFormat="1" ht="75" x14ac:dyDescent="0.25">
      <c r="A45" s="447"/>
      <c r="B45" s="98" t="s">
        <v>979</v>
      </c>
      <c r="C45" s="98" t="s">
        <v>980</v>
      </c>
      <c r="D45" s="98">
        <v>1000185654</v>
      </c>
      <c r="E45" s="98">
        <v>266051733</v>
      </c>
      <c r="F45" s="100" t="s">
        <v>1433</v>
      </c>
      <c r="G45" s="98">
        <v>9000575731</v>
      </c>
      <c r="H45" s="99">
        <v>45987</v>
      </c>
      <c r="I45" s="100" t="s">
        <v>1434</v>
      </c>
      <c r="J45" s="104" t="s">
        <v>1066</v>
      </c>
      <c r="K45" s="434"/>
      <c r="L45" s="106"/>
      <c r="M45" s="106"/>
      <c r="N45" s="98" t="s">
        <v>983</v>
      </c>
      <c r="O45" s="98"/>
      <c r="P45" s="100" t="s">
        <v>1435</v>
      </c>
      <c r="Q45" s="100" t="s">
        <v>881</v>
      </c>
      <c r="R45" s="98" t="s">
        <v>873</v>
      </c>
      <c r="S45" s="410"/>
      <c r="T45" s="410"/>
      <c r="U45" s="410"/>
      <c r="V45" s="101"/>
      <c r="W45" s="101"/>
      <c r="X45" s="101"/>
      <c r="Y45" s="101"/>
      <c r="Z45" s="101"/>
      <c r="AA45" s="101"/>
      <c r="AB45" s="101"/>
      <c r="AC45" s="101"/>
      <c r="AD45" s="101"/>
      <c r="AE45" s="101"/>
      <c r="AF45" s="101"/>
      <c r="AG45" s="410"/>
      <c r="AH45" s="50"/>
      <c r="AI45" s="407"/>
      <c r="AJ45" s="407"/>
      <c r="AK45" s="50"/>
      <c r="AL45" s="408"/>
      <c r="AM45" s="28"/>
      <c r="AN45" s="50"/>
    </row>
    <row r="46" spans="1:47" s="190" customFormat="1" ht="60" x14ac:dyDescent="0.25">
      <c r="A46" s="447"/>
      <c r="B46" s="98" t="s">
        <v>979</v>
      </c>
      <c r="C46" s="98" t="s">
        <v>980</v>
      </c>
      <c r="D46" s="98">
        <v>1000185654</v>
      </c>
      <c r="E46" s="98">
        <v>266051733</v>
      </c>
      <c r="F46" s="100" t="s">
        <v>1436</v>
      </c>
      <c r="G46" s="98">
        <v>9000589728</v>
      </c>
      <c r="H46" s="99">
        <v>46007</v>
      </c>
      <c r="I46" s="100" t="s">
        <v>1437</v>
      </c>
      <c r="J46" s="104" t="s">
        <v>1066</v>
      </c>
      <c r="K46" s="434"/>
      <c r="L46" s="106"/>
      <c r="M46" s="106"/>
      <c r="N46" s="98" t="s">
        <v>1438</v>
      </c>
      <c r="O46" s="98"/>
      <c r="P46" s="100" t="s">
        <v>1439</v>
      </c>
      <c r="Q46" s="100" t="s">
        <v>881</v>
      </c>
      <c r="R46" s="98" t="s">
        <v>873</v>
      </c>
      <c r="S46" s="410"/>
      <c r="T46" s="410"/>
      <c r="U46" s="410"/>
      <c r="V46" s="101"/>
      <c r="W46" s="101"/>
      <c r="X46" s="101"/>
      <c r="Y46" s="101"/>
      <c r="Z46" s="101"/>
      <c r="AA46" s="101"/>
      <c r="AB46" s="101"/>
      <c r="AC46" s="101"/>
      <c r="AD46" s="101"/>
      <c r="AE46" s="101"/>
      <c r="AF46" s="101"/>
      <c r="AG46" s="410"/>
      <c r="AH46" s="50"/>
      <c r="AI46" s="407"/>
      <c r="AJ46" s="407"/>
      <c r="AK46" s="50"/>
      <c r="AL46" s="408"/>
      <c r="AM46" s="28"/>
      <c r="AN46" s="50"/>
    </row>
    <row r="47" spans="1:47" s="190" customFormat="1" x14ac:dyDescent="0.25">
      <c r="A47" s="398"/>
      <c r="B47" s="8"/>
      <c r="C47" s="8"/>
      <c r="D47" s="8"/>
      <c r="E47" s="8"/>
      <c r="F47" s="191"/>
      <c r="G47" s="8"/>
      <c r="H47" s="38"/>
      <c r="I47" s="15"/>
      <c r="J47" s="6"/>
      <c r="K47" s="65"/>
      <c r="L47" s="259">
        <f>SUM(K44)</f>
        <v>53132366.270000003</v>
      </c>
      <c r="M47" s="259"/>
      <c r="N47" s="8"/>
      <c r="O47" s="8"/>
      <c r="P47" s="6"/>
      <c r="Q47" s="6"/>
      <c r="R47" s="6"/>
      <c r="S47" s="42">
        <f>L47-S44</f>
        <v>17157127.970000006</v>
      </c>
      <c r="T47" s="42"/>
      <c r="U47" s="42"/>
      <c r="V47" s="42"/>
      <c r="W47" s="42"/>
      <c r="X47" s="42"/>
      <c r="Y47" s="42"/>
      <c r="Z47" s="42"/>
      <c r="AA47" s="42"/>
      <c r="AB47" s="42"/>
      <c r="AC47" s="42"/>
      <c r="AD47" s="42"/>
      <c r="AE47" s="42"/>
      <c r="AF47" s="42"/>
      <c r="AG47" s="189"/>
      <c r="AH47" s="189"/>
      <c r="AI47" s="189"/>
      <c r="AJ47" s="189"/>
      <c r="AK47" s="109"/>
      <c r="AL47" s="189"/>
      <c r="AM47" s="189"/>
      <c r="AN47" s="109"/>
    </row>
    <row r="48" spans="1:47" s="190" customFormat="1" ht="214.5" customHeight="1" x14ac:dyDescent="0.25">
      <c r="A48" s="447">
        <v>1</v>
      </c>
      <c r="B48" s="98" t="s">
        <v>1440</v>
      </c>
      <c r="C48" s="98" t="s">
        <v>4705</v>
      </c>
      <c r="D48" s="98">
        <v>1000065030</v>
      </c>
      <c r="E48" s="98">
        <v>4217100015</v>
      </c>
      <c r="F48" s="98" t="s">
        <v>1441</v>
      </c>
      <c r="G48" s="98">
        <v>8000773152</v>
      </c>
      <c r="H48" s="99">
        <v>45973</v>
      </c>
      <c r="I48" s="100" t="s">
        <v>775</v>
      </c>
      <c r="J48" s="104" t="s">
        <v>1066</v>
      </c>
      <c r="K48" s="434">
        <v>22999428</v>
      </c>
      <c r="L48" s="106"/>
      <c r="M48" s="106"/>
      <c r="N48" s="50" t="s">
        <v>4706</v>
      </c>
      <c r="O48" s="98"/>
      <c r="P48" s="100" t="s">
        <v>1442</v>
      </c>
      <c r="Q48" s="100" t="s">
        <v>13</v>
      </c>
      <c r="R48" s="100" t="s">
        <v>476</v>
      </c>
      <c r="S48" s="101">
        <v>10495625.84</v>
      </c>
      <c r="T48" s="101">
        <v>12055745.98</v>
      </c>
      <c r="U48" s="101" t="s">
        <v>4501</v>
      </c>
      <c r="V48" s="101"/>
      <c r="W48" s="101"/>
      <c r="X48" s="101"/>
      <c r="Y48" s="101"/>
      <c r="Z48" s="101"/>
      <c r="AA48" s="101"/>
      <c r="AB48" s="101"/>
      <c r="AC48" s="101"/>
      <c r="AD48" s="101"/>
      <c r="AE48" s="101"/>
      <c r="AF48" s="101"/>
      <c r="AG48" s="410"/>
      <c r="AH48" s="50"/>
      <c r="AI48" s="407"/>
      <c r="AJ48" s="407" t="s">
        <v>1664</v>
      </c>
      <c r="AK48" s="50" t="s">
        <v>4707</v>
      </c>
      <c r="AL48" s="408" t="s">
        <v>1611</v>
      </c>
      <c r="AM48" s="28" t="s">
        <v>4502</v>
      </c>
      <c r="AN48" s="462" t="s">
        <v>4642</v>
      </c>
      <c r="AP48" s="190">
        <v>1</v>
      </c>
      <c r="AU48" s="484" t="s">
        <v>4787</v>
      </c>
    </row>
    <row r="49" spans="1:47" s="190" customFormat="1" x14ac:dyDescent="0.25">
      <c r="A49" s="398"/>
      <c r="B49" s="8"/>
      <c r="C49" s="8"/>
      <c r="D49" s="8"/>
      <c r="E49" s="8"/>
      <c r="F49" s="191"/>
      <c r="G49" s="8"/>
      <c r="H49" s="38"/>
      <c r="I49" s="15"/>
      <c r="J49" s="6"/>
      <c r="K49" s="65"/>
      <c r="L49" s="259">
        <f>K48+K49</f>
        <v>22999428</v>
      </c>
      <c r="M49" s="259"/>
      <c r="N49" s="8"/>
      <c r="O49" s="8"/>
      <c r="P49" s="6"/>
      <c r="Q49" s="6"/>
      <c r="R49" s="6"/>
      <c r="S49" s="42">
        <f>L49-S48</f>
        <v>12503802.16</v>
      </c>
      <c r="T49" s="42"/>
      <c r="U49" s="42"/>
      <c r="V49" s="42"/>
      <c r="W49" s="42"/>
      <c r="X49" s="42"/>
      <c r="Y49" s="42"/>
      <c r="Z49" s="42"/>
      <c r="AA49" s="42"/>
      <c r="AB49" s="42"/>
      <c r="AC49" s="42"/>
      <c r="AD49" s="42"/>
      <c r="AE49" s="42"/>
      <c r="AF49" s="42"/>
      <c r="AG49" s="189"/>
      <c r="AH49" s="189"/>
      <c r="AI49" s="189"/>
      <c r="AJ49" s="189"/>
      <c r="AK49" s="109"/>
      <c r="AL49" s="189"/>
      <c r="AM49" s="189"/>
      <c r="AN49" s="109"/>
    </row>
    <row r="50" spans="1:47" s="190" customFormat="1" ht="142.5" customHeight="1" x14ac:dyDescent="0.25">
      <c r="A50" s="447">
        <v>1</v>
      </c>
      <c r="B50" s="98" t="s">
        <v>1440</v>
      </c>
      <c r="C50" s="98" t="s">
        <v>4705</v>
      </c>
      <c r="D50" s="98">
        <v>1000065030</v>
      </c>
      <c r="E50" s="98">
        <v>4217100015</v>
      </c>
      <c r="F50" s="98" t="s">
        <v>1443</v>
      </c>
      <c r="G50" s="98">
        <v>8000773161</v>
      </c>
      <c r="H50" s="99">
        <v>45973</v>
      </c>
      <c r="I50" s="100" t="s">
        <v>791</v>
      </c>
      <c r="J50" s="104" t="s">
        <v>1066</v>
      </c>
      <c r="K50" s="434">
        <v>158100648</v>
      </c>
      <c r="L50" s="106"/>
      <c r="M50" s="106"/>
      <c r="N50" s="98" t="s">
        <v>4500</v>
      </c>
      <c r="O50" s="98"/>
      <c r="P50" s="100" t="s">
        <v>1442</v>
      </c>
      <c r="Q50" s="100" t="s">
        <v>168</v>
      </c>
      <c r="R50" s="100" t="s">
        <v>476</v>
      </c>
      <c r="S50" s="101">
        <v>0</v>
      </c>
      <c r="T50" s="101">
        <v>31620129.600000001</v>
      </c>
      <c r="U50" s="101" t="s">
        <v>4503</v>
      </c>
      <c r="V50" s="101"/>
      <c r="W50" s="101"/>
      <c r="X50" s="101"/>
      <c r="Y50" s="101"/>
      <c r="Z50" s="101"/>
      <c r="AA50" s="101"/>
      <c r="AB50" s="101"/>
      <c r="AC50" s="101"/>
      <c r="AD50" s="101"/>
      <c r="AE50" s="101"/>
      <c r="AF50" s="101"/>
      <c r="AG50" s="410"/>
      <c r="AH50" s="50"/>
      <c r="AI50" s="407"/>
      <c r="AJ50" s="407" t="s">
        <v>1665</v>
      </c>
      <c r="AK50" s="50" t="s">
        <v>4602</v>
      </c>
      <c r="AL50" s="408" t="s">
        <v>1612</v>
      </c>
      <c r="AM50" s="28" t="s">
        <v>4708</v>
      </c>
      <c r="AN50" s="462" t="s">
        <v>4642</v>
      </c>
      <c r="AP50" s="190">
        <v>1</v>
      </c>
      <c r="AU50" s="484" t="s">
        <v>4787</v>
      </c>
    </row>
    <row r="51" spans="1:47" s="190" customFormat="1" ht="142.5" customHeight="1" x14ac:dyDescent="0.25">
      <c r="A51" s="447"/>
      <c r="B51" s="98" t="s">
        <v>1440</v>
      </c>
      <c r="C51" s="98" t="s">
        <v>4705</v>
      </c>
      <c r="D51" s="98">
        <v>1000065030</v>
      </c>
      <c r="E51" s="98">
        <v>4217100015</v>
      </c>
      <c r="F51" s="406" t="s">
        <v>4593</v>
      </c>
      <c r="G51" s="98">
        <v>8000773161</v>
      </c>
      <c r="H51" s="99">
        <v>45973</v>
      </c>
      <c r="I51" s="100" t="s">
        <v>4709</v>
      </c>
      <c r="J51" s="104" t="s">
        <v>1066</v>
      </c>
      <c r="K51" s="434">
        <v>-99980463</v>
      </c>
      <c r="L51" s="106"/>
      <c r="M51" s="106"/>
      <c r="N51" s="98"/>
      <c r="O51" s="98"/>
      <c r="P51" s="100" t="s">
        <v>1442</v>
      </c>
      <c r="Q51" s="100" t="s">
        <v>168</v>
      </c>
      <c r="R51" s="100" t="s">
        <v>476</v>
      </c>
      <c r="S51" s="101"/>
      <c r="T51" s="101"/>
      <c r="U51" s="101"/>
      <c r="V51" s="101"/>
      <c r="W51" s="101"/>
      <c r="X51" s="101"/>
      <c r="Y51" s="101"/>
      <c r="Z51" s="101"/>
      <c r="AA51" s="101"/>
      <c r="AB51" s="101"/>
      <c r="AC51" s="101"/>
      <c r="AD51" s="101"/>
      <c r="AE51" s="101"/>
      <c r="AF51" s="101"/>
      <c r="AG51" s="410"/>
      <c r="AH51" s="50"/>
      <c r="AI51" s="407"/>
      <c r="AJ51" s="407"/>
      <c r="AK51" s="50"/>
      <c r="AL51" s="408"/>
      <c r="AM51" s="28"/>
      <c r="AN51" s="50"/>
    </row>
    <row r="52" spans="1:47" s="190" customFormat="1" x14ac:dyDescent="0.25">
      <c r="A52" s="398"/>
      <c r="B52" s="8"/>
      <c r="C52" s="8"/>
      <c r="D52" s="8"/>
      <c r="E52" s="8"/>
      <c r="F52" s="191"/>
      <c r="G52" s="8"/>
      <c r="H52" s="38"/>
      <c r="I52" s="15"/>
      <c r="J52" s="6"/>
      <c r="K52" s="65"/>
      <c r="L52" s="259">
        <f>SUM(K50:K51)</f>
        <v>58120185</v>
      </c>
      <c r="M52" s="259"/>
      <c r="N52" s="8"/>
      <c r="O52" s="8"/>
      <c r="P52" s="6"/>
      <c r="Q52" s="6"/>
      <c r="R52" s="6"/>
      <c r="S52" s="42">
        <f>L52-S50</f>
        <v>58120185</v>
      </c>
      <c r="T52" s="42"/>
      <c r="U52" s="42"/>
      <c r="V52" s="42"/>
      <c r="W52" s="42"/>
      <c r="X52" s="42"/>
      <c r="Y52" s="42"/>
      <c r="Z52" s="42"/>
      <c r="AA52" s="42"/>
      <c r="AB52" s="42"/>
      <c r="AC52" s="42"/>
      <c r="AD52" s="42"/>
      <c r="AE52" s="42"/>
      <c r="AF52" s="42"/>
      <c r="AG52" s="189"/>
      <c r="AH52" s="189"/>
      <c r="AI52" s="189"/>
      <c r="AJ52" s="189"/>
      <c r="AK52" s="109"/>
      <c r="AL52" s="189"/>
      <c r="AM52" s="189"/>
      <c r="AN52" s="109"/>
    </row>
    <row r="53" spans="1:47" s="138" customFormat="1" ht="270" x14ac:dyDescent="0.25">
      <c r="A53" s="28">
        <v>1</v>
      </c>
      <c r="B53" s="98" t="s">
        <v>173</v>
      </c>
      <c r="C53" s="98" t="s">
        <v>172</v>
      </c>
      <c r="D53" s="98">
        <v>3808206223</v>
      </c>
      <c r="E53" s="98">
        <v>1000167779</v>
      </c>
      <c r="F53" s="108" t="s">
        <v>722</v>
      </c>
      <c r="G53" s="98">
        <v>8000650752</v>
      </c>
      <c r="H53" s="99">
        <v>45462</v>
      </c>
      <c r="I53" s="100" t="s">
        <v>174</v>
      </c>
      <c r="J53" s="101" t="s">
        <v>175</v>
      </c>
      <c r="K53" s="101">
        <v>237904660.65000001</v>
      </c>
      <c r="L53" s="100"/>
      <c r="M53" s="100" t="s">
        <v>176</v>
      </c>
      <c r="N53" s="100" t="s">
        <v>177</v>
      </c>
      <c r="O53" s="98" t="s">
        <v>178</v>
      </c>
      <c r="P53" s="101" t="s">
        <v>179</v>
      </c>
      <c r="Q53" s="101" t="s">
        <v>168</v>
      </c>
      <c r="R53" s="98" t="s">
        <v>993</v>
      </c>
      <c r="S53" s="101">
        <v>231560509.41999999</v>
      </c>
      <c r="T53" s="101">
        <v>166128866.71000001</v>
      </c>
      <c r="U53" s="101">
        <v>4351849.04</v>
      </c>
      <c r="V53" s="50"/>
      <c r="W53" s="50"/>
      <c r="X53" s="28"/>
      <c r="Y53" s="28"/>
      <c r="Z53" s="28"/>
      <c r="AA53" s="28" t="s">
        <v>210</v>
      </c>
      <c r="AB53" s="400" t="s">
        <v>180</v>
      </c>
      <c r="AC53" s="400" t="s">
        <v>1520</v>
      </c>
      <c r="AD53" s="400" t="s">
        <v>1519</v>
      </c>
      <c r="AE53" s="408" t="s">
        <v>911</v>
      </c>
      <c r="AF53" s="28" t="s">
        <v>1034</v>
      </c>
      <c r="AG53" s="28" t="s">
        <v>1145</v>
      </c>
      <c r="AH53" s="28" t="s">
        <v>4710</v>
      </c>
      <c r="AI53" s="28" t="s">
        <v>1591</v>
      </c>
      <c r="AJ53" s="28" t="s">
        <v>1682</v>
      </c>
      <c r="AK53" s="50" t="s">
        <v>4610</v>
      </c>
      <c r="AL53" s="408" t="s">
        <v>4504</v>
      </c>
      <c r="AM53" s="28" t="s">
        <v>4711</v>
      </c>
      <c r="AN53" s="467" t="s">
        <v>4655</v>
      </c>
      <c r="AT53" s="138">
        <v>1</v>
      </c>
    </row>
    <row r="54" spans="1:47" s="138" customFormat="1" ht="99.75" customHeight="1" x14ac:dyDescent="0.25">
      <c r="A54" s="28"/>
      <c r="B54" s="98" t="s">
        <v>173</v>
      </c>
      <c r="C54" s="98" t="s">
        <v>172</v>
      </c>
      <c r="D54" s="98">
        <v>3808206223</v>
      </c>
      <c r="E54" s="98">
        <v>1000167779</v>
      </c>
      <c r="F54" s="108" t="s">
        <v>18</v>
      </c>
      <c r="G54" s="98">
        <v>9000532291</v>
      </c>
      <c r="H54" s="99">
        <v>45771</v>
      </c>
      <c r="I54" s="100" t="s">
        <v>494</v>
      </c>
      <c r="J54" s="101" t="s">
        <v>175</v>
      </c>
      <c r="K54" s="101">
        <v>248632465.34</v>
      </c>
      <c r="L54" s="100"/>
      <c r="M54" s="100"/>
      <c r="N54" s="100" t="s">
        <v>495</v>
      </c>
      <c r="O54" s="98" t="s">
        <v>178</v>
      </c>
      <c r="P54" s="101"/>
      <c r="Q54" s="101" t="s">
        <v>168</v>
      </c>
      <c r="R54" s="100" t="s">
        <v>496</v>
      </c>
      <c r="S54" s="449"/>
      <c r="T54" s="449"/>
      <c r="U54" s="421"/>
      <c r="V54" s="50"/>
      <c r="W54" s="50"/>
      <c r="X54" s="28"/>
      <c r="Y54" s="28"/>
      <c r="Z54" s="28"/>
      <c r="AA54" s="28"/>
      <c r="AB54" s="400"/>
      <c r="AC54" s="400"/>
      <c r="AD54" s="400"/>
      <c r="AE54" s="408"/>
      <c r="AF54" s="28"/>
      <c r="AG54" s="28"/>
      <c r="AH54" s="28"/>
      <c r="AI54" s="28"/>
      <c r="AJ54" s="28"/>
      <c r="AK54" s="50"/>
      <c r="AL54" s="408"/>
      <c r="AM54" s="28"/>
      <c r="AN54" s="51"/>
    </row>
    <row r="55" spans="1:47" s="138" customFormat="1" ht="105.75" customHeight="1" x14ac:dyDescent="0.25">
      <c r="A55" s="28"/>
      <c r="B55" s="98" t="s">
        <v>723</v>
      </c>
      <c r="C55" s="98" t="s">
        <v>172</v>
      </c>
      <c r="D55" s="98">
        <v>3808206223</v>
      </c>
      <c r="E55" s="98">
        <v>1000167779</v>
      </c>
      <c r="F55" s="108" t="s">
        <v>724</v>
      </c>
      <c r="G55" s="98">
        <v>9000556514</v>
      </c>
      <c r="H55" s="99">
        <v>45861</v>
      </c>
      <c r="I55" s="100" t="s">
        <v>1518</v>
      </c>
      <c r="J55" s="100"/>
      <c r="K55" s="101">
        <v>21759245.210000001</v>
      </c>
      <c r="L55" s="100"/>
      <c r="M55" s="100"/>
      <c r="N55" s="100"/>
      <c r="O55" s="98"/>
      <c r="P55" s="101">
        <v>45853</v>
      </c>
      <c r="Q55" s="101">
        <v>45859</v>
      </c>
      <c r="R55" s="100" t="s">
        <v>725</v>
      </c>
      <c r="S55" s="449"/>
      <c r="T55" s="449"/>
      <c r="U55" s="449"/>
      <c r="V55" s="50"/>
      <c r="W55" s="50"/>
      <c r="X55" s="28"/>
      <c r="Y55" s="28"/>
      <c r="Z55" s="28"/>
      <c r="AA55" s="28"/>
      <c r="AB55" s="400"/>
      <c r="AC55" s="400"/>
      <c r="AD55" s="400"/>
      <c r="AE55" s="408" t="s">
        <v>4712</v>
      </c>
      <c r="AF55" s="28"/>
      <c r="AG55" s="28"/>
      <c r="AH55" s="28"/>
      <c r="AI55" s="28"/>
      <c r="AJ55" s="28"/>
      <c r="AK55" s="50"/>
      <c r="AL55" s="408"/>
      <c r="AM55" s="28"/>
      <c r="AN55" s="51"/>
    </row>
    <row r="56" spans="1:47" s="190" customFormat="1" x14ac:dyDescent="0.25">
      <c r="A56" s="398"/>
      <c r="B56" s="8"/>
      <c r="C56" s="8"/>
      <c r="D56" s="8"/>
      <c r="E56" s="8"/>
      <c r="F56" s="191"/>
      <c r="G56" s="8"/>
      <c r="H56" s="38"/>
      <c r="I56" s="15"/>
      <c r="J56" s="6"/>
      <c r="K56" s="65"/>
      <c r="L56" s="259">
        <f>SUM(K53:K55)</f>
        <v>508296371.19999999</v>
      </c>
      <c r="M56" s="259"/>
      <c r="N56" s="8"/>
      <c r="O56" s="8"/>
      <c r="P56" s="6"/>
      <c r="Q56" s="6"/>
      <c r="R56" s="6"/>
      <c r="S56" s="42">
        <f>L56-S53</f>
        <v>276735861.77999997</v>
      </c>
      <c r="T56" s="42"/>
      <c r="U56" s="42"/>
      <c r="V56" s="42"/>
      <c r="W56" s="42"/>
      <c r="X56" s="42"/>
      <c r="Y56" s="42"/>
      <c r="Z56" s="42"/>
      <c r="AA56" s="42"/>
      <c r="AB56" s="42"/>
      <c r="AC56" s="42"/>
      <c r="AD56" s="42"/>
      <c r="AE56" s="42"/>
      <c r="AF56" s="42"/>
      <c r="AG56" s="189"/>
      <c r="AH56" s="189"/>
      <c r="AI56" s="189"/>
      <c r="AJ56" s="189"/>
      <c r="AK56" s="109"/>
      <c r="AL56" s="189"/>
      <c r="AM56" s="189"/>
      <c r="AN56" s="109"/>
    </row>
    <row r="57" spans="1:47" s="138" customFormat="1" ht="270" x14ac:dyDescent="0.25">
      <c r="A57" s="28">
        <v>1</v>
      </c>
      <c r="B57" s="98" t="s">
        <v>173</v>
      </c>
      <c r="C57" s="98" t="s">
        <v>172</v>
      </c>
      <c r="D57" s="98">
        <v>3808206223</v>
      </c>
      <c r="E57" s="98">
        <v>1000167779</v>
      </c>
      <c r="F57" s="108" t="s">
        <v>4506</v>
      </c>
      <c r="G57" s="98">
        <v>8000650554</v>
      </c>
      <c r="H57" s="99">
        <v>45478</v>
      </c>
      <c r="I57" s="100" t="s">
        <v>183</v>
      </c>
      <c r="J57" s="101" t="s">
        <v>187</v>
      </c>
      <c r="K57" s="101">
        <v>345261587.63</v>
      </c>
      <c r="L57" s="100"/>
      <c r="M57" s="100" t="s">
        <v>184</v>
      </c>
      <c r="N57" s="100" t="s">
        <v>502</v>
      </c>
      <c r="O57" s="100"/>
      <c r="P57" s="101" t="s">
        <v>186</v>
      </c>
      <c r="Q57" s="101" t="s">
        <v>77</v>
      </c>
      <c r="R57" s="100" t="s">
        <v>276</v>
      </c>
      <c r="S57" s="101">
        <v>455473870.74000001</v>
      </c>
      <c r="T57" s="101">
        <v>455473870.74000001</v>
      </c>
      <c r="U57" s="101">
        <v>15000000</v>
      </c>
      <c r="V57" s="50" t="s">
        <v>255</v>
      </c>
      <c r="W57" s="449">
        <v>15000000</v>
      </c>
      <c r="X57" s="28" t="s">
        <v>256</v>
      </c>
      <c r="Y57" s="28"/>
      <c r="Z57" s="28"/>
      <c r="AA57" s="28" t="s">
        <v>210</v>
      </c>
      <c r="AB57" s="400"/>
      <c r="AC57" s="400" t="s">
        <v>1521</v>
      </c>
      <c r="AD57" s="400" t="s">
        <v>1522</v>
      </c>
      <c r="AE57" s="408" t="s">
        <v>1074</v>
      </c>
      <c r="AF57" s="28" t="s">
        <v>1035</v>
      </c>
      <c r="AG57" s="28" t="s">
        <v>1130</v>
      </c>
      <c r="AH57" s="28" t="s">
        <v>4713</v>
      </c>
      <c r="AI57" s="28" t="s">
        <v>1591</v>
      </c>
      <c r="AJ57" s="28" t="s">
        <v>1682</v>
      </c>
      <c r="AK57" s="50" t="s">
        <v>4610</v>
      </c>
      <c r="AL57" s="408" t="s">
        <v>4505</v>
      </c>
      <c r="AM57" s="28" t="s">
        <v>4714</v>
      </c>
      <c r="AN57" s="467" t="s">
        <v>4654</v>
      </c>
      <c r="AT57" s="138">
        <v>1</v>
      </c>
    </row>
    <row r="58" spans="1:47" s="138" customFormat="1" ht="165" x14ac:dyDescent="0.25">
      <c r="A58" s="28"/>
      <c r="B58" s="98" t="s">
        <v>173</v>
      </c>
      <c r="C58" s="98" t="s">
        <v>172</v>
      </c>
      <c r="D58" s="98">
        <v>3808206223</v>
      </c>
      <c r="E58" s="98">
        <v>1000167779</v>
      </c>
      <c r="F58" s="108" t="s">
        <v>18</v>
      </c>
      <c r="G58" s="98">
        <v>9000532283</v>
      </c>
      <c r="H58" s="99">
        <v>45741</v>
      </c>
      <c r="I58" s="100" t="s">
        <v>501</v>
      </c>
      <c r="J58" s="101" t="s">
        <v>187</v>
      </c>
      <c r="K58" s="101">
        <v>393798340.88999999</v>
      </c>
      <c r="L58" s="100"/>
      <c r="M58" s="100"/>
      <c r="N58" s="100" t="s">
        <v>185</v>
      </c>
      <c r="O58" s="100"/>
      <c r="P58" s="101" t="s">
        <v>503</v>
      </c>
      <c r="Q58" s="101" t="s">
        <v>238</v>
      </c>
      <c r="R58" s="100" t="s">
        <v>993</v>
      </c>
      <c r="S58" s="449"/>
      <c r="T58" s="421"/>
      <c r="U58" s="449"/>
      <c r="V58" s="50"/>
      <c r="W58" s="50"/>
      <c r="X58" s="28"/>
      <c r="Y58" s="28"/>
      <c r="Z58" s="28"/>
      <c r="AA58" s="28"/>
      <c r="AB58" s="400"/>
      <c r="AC58" s="400"/>
      <c r="AD58" s="400"/>
      <c r="AE58" s="408"/>
      <c r="AF58" s="28"/>
      <c r="AG58" s="28"/>
      <c r="AH58" s="28"/>
      <c r="AI58" s="28"/>
      <c r="AJ58" s="28"/>
      <c r="AK58" s="50"/>
      <c r="AL58" s="408"/>
      <c r="AM58" s="28"/>
      <c r="AN58" s="51"/>
    </row>
    <row r="59" spans="1:47" s="190" customFormat="1" x14ac:dyDescent="0.25">
      <c r="A59" s="398"/>
      <c r="B59" s="8"/>
      <c r="C59" s="8"/>
      <c r="D59" s="8"/>
      <c r="E59" s="8"/>
      <c r="F59" s="191"/>
      <c r="G59" s="8"/>
      <c r="H59" s="38"/>
      <c r="I59" s="15"/>
      <c r="J59" s="6"/>
      <c r="K59" s="65"/>
      <c r="L59" s="259">
        <f>SUM(K57:K58)</f>
        <v>739059928.51999998</v>
      </c>
      <c r="M59" s="259"/>
      <c r="N59" s="8"/>
      <c r="O59" s="8"/>
      <c r="P59" s="6"/>
      <c r="Q59" s="6"/>
      <c r="R59" s="6"/>
      <c r="S59" s="42">
        <f>L59-S57</f>
        <v>283586057.77999997</v>
      </c>
      <c r="T59" s="42"/>
      <c r="U59" s="42"/>
      <c r="V59" s="42"/>
      <c r="W59" s="42"/>
      <c r="X59" s="42"/>
      <c r="Y59" s="42"/>
      <c r="Z59" s="42"/>
      <c r="AA59" s="42"/>
      <c r="AB59" s="42"/>
      <c r="AC59" s="42"/>
      <c r="AD59" s="42"/>
      <c r="AE59" s="42"/>
      <c r="AF59" s="42"/>
      <c r="AG59" s="189"/>
      <c r="AH59" s="189"/>
      <c r="AI59" s="189"/>
      <c r="AJ59" s="189"/>
      <c r="AK59" s="109"/>
      <c r="AL59" s="189"/>
      <c r="AM59" s="189"/>
      <c r="AN59" s="109"/>
    </row>
    <row r="60" spans="1:47" s="138" customFormat="1" ht="150" x14ac:dyDescent="0.25">
      <c r="A60" s="28">
        <v>1</v>
      </c>
      <c r="B60" s="98" t="s">
        <v>323</v>
      </c>
      <c r="C60" s="98" t="s">
        <v>324</v>
      </c>
      <c r="D60" s="98">
        <v>2703097800</v>
      </c>
      <c r="E60" s="98">
        <v>1000105103</v>
      </c>
      <c r="F60" s="108" t="s">
        <v>387</v>
      </c>
      <c r="G60" s="98">
        <v>8000702859</v>
      </c>
      <c r="H60" s="99">
        <v>45693</v>
      </c>
      <c r="I60" s="100" t="s">
        <v>388</v>
      </c>
      <c r="J60" s="100" t="s">
        <v>368</v>
      </c>
      <c r="K60" s="101">
        <v>879252230.89999998</v>
      </c>
      <c r="L60" s="101"/>
      <c r="M60" s="100" t="s">
        <v>389</v>
      </c>
      <c r="N60" s="100" t="s">
        <v>390</v>
      </c>
      <c r="O60" s="100"/>
      <c r="P60" s="98" t="s">
        <v>391</v>
      </c>
      <c r="Q60" s="98" t="s">
        <v>392</v>
      </c>
      <c r="R60" s="98" t="s">
        <v>105</v>
      </c>
      <c r="S60" s="101">
        <v>897142682.88</v>
      </c>
      <c r="T60" s="101">
        <v>897442682.88</v>
      </c>
      <c r="U60" s="101">
        <v>0</v>
      </c>
      <c r="V60" s="50"/>
      <c r="W60" s="50"/>
      <c r="X60" s="50"/>
      <c r="Y60" s="50"/>
      <c r="Z60" s="50"/>
      <c r="AA60" s="28"/>
      <c r="AB60" s="57"/>
      <c r="AC60" s="400" t="s">
        <v>1530</v>
      </c>
      <c r="AD60" s="400" t="s">
        <v>1523</v>
      </c>
      <c r="AE60" s="408" t="s">
        <v>1077</v>
      </c>
      <c r="AF60" s="28"/>
      <c r="AG60" s="28" t="s">
        <v>1156</v>
      </c>
      <c r="AH60" s="28" t="s">
        <v>1385</v>
      </c>
      <c r="AI60" s="28" t="s">
        <v>1590</v>
      </c>
      <c r="AJ60" s="28"/>
      <c r="AK60" s="50" t="s">
        <v>4715</v>
      </c>
      <c r="AL60" s="408" t="s">
        <v>4510</v>
      </c>
      <c r="AM60" s="28" t="s">
        <v>4507</v>
      </c>
      <c r="AN60" s="467" t="s">
        <v>4653</v>
      </c>
      <c r="AT60" s="138">
        <v>1</v>
      </c>
    </row>
    <row r="61" spans="1:47" s="2" customFormat="1" ht="90" x14ac:dyDescent="0.25">
      <c r="A61" s="28"/>
      <c r="B61" s="98" t="s">
        <v>323</v>
      </c>
      <c r="C61" s="98" t="s">
        <v>324</v>
      </c>
      <c r="D61" s="98">
        <v>2703097800</v>
      </c>
      <c r="E61" s="98">
        <v>1000105103</v>
      </c>
      <c r="F61" s="108" t="s">
        <v>1526</v>
      </c>
      <c r="G61" s="98">
        <v>9000567357</v>
      </c>
      <c r="H61" s="99">
        <v>45916</v>
      </c>
      <c r="I61" s="100" t="s">
        <v>108</v>
      </c>
      <c r="J61" s="100" t="s">
        <v>368</v>
      </c>
      <c r="K61" s="101">
        <v>47720280.869999997</v>
      </c>
      <c r="L61" s="101"/>
      <c r="M61" s="100" t="s">
        <v>389</v>
      </c>
      <c r="N61" s="100" t="s">
        <v>1527</v>
      </c>
      <c r="O61" s="100"/>
      <c r="P61" s="98" t="s">
        <v>1528</v>
      </c>
      <c r="Q61" s="98" t="s">
        <v>168</v>
      </c>
      <c r="R61" s="98" t="s">
        <v>873</v>
      </c>
      <c r="S61" s="98"/>
      <c r="T61" s="100"/>
      <c r="U61" s="100"/>
      <c r="V61" s="50"/>
      <c r="W61" s="50"/>
      <c r="X61" s="50"/>
      <c r="Y61" s="50"/>
      <c r="Z61" s="50"/>
      <c r="AA61" s="28"/>
      <c r="AB61" s="57" t="s">
        <v>1529</v>
      </c>
      <c r="AC61" s="28"/>
      <c r="AD61" s="28"/>
      <c r="AE61" s="28"/>
      <c r="AF61" s="28"/>
      <c r="AG61" s="28"/>
      <c r="AH61" s="28"/>
      <c r="AI61" s="28"/>
      <c r="AJ61" s="28"/>
      <c r="AK61" s="50"/>
      <c r="AL61" s="28"/>
      <c r="AM61" s="28"/>
      <c r="AN61" s="51"/>
    </row>
    <row r="62" spans="1:47" s="190" customFormat="1" x14ac:dyDescent="0.25">
      <c r="A62" s="398"/>
      <c r="B62" s="8"/>
      <c r="C62" s="8"/>
      <c r="D62" s="8"/>
      <c r="E62" s="8"/>
      <c r="F62" s="191"/>
      <c r="G62" s="8"/>
      <c r="H62" s="38"/>
      <c r="I62" s="15"/>
      <c r="J62" s="6"/>
      <c r="K62" s="65"/>
      <c r="L62" s="259">
        <f>SUM(K60:K61)</f>
        <v>926972511.76999998</v>
      </c>
      <c r="M62" s="259"/>
      <c r="N62" s="8"/>
      <c r="O62" s="8"/>
      <c r="P62" s="6"/>
      <c r="Q62" s="6"/>
      <c r="R62" s="6"/>
      <c r="S62" s="42">
        <f>L62-S60</f>
        <v>29829828.889999986</v>
      </c>
      <c r="T62" s="42"/>
      <c r="U62" s="42"/>
      <c r="V62" s="42"/>
      <c r="W62" s="42"/>
      <c r="X62" s="42"/>
      <c r="Y62" s="42"/>
      <c r="Z62" s="42"/>
      <c r="AA62" s="42"/>
      <c r="AB62" s="42"/>
      <c r="AC62" s="42"/>
      <c r="AD62" s="42"/>
      <c r="AE62" s="42"/>
      <c r="AF62" s="42"/>
      <c r="AG62" s="189"/>
      <c r="AH62" s="189"/>
      <c r="AI62" s="189"/>
      <c r="AJ62" s="189"/>
      <c r="AK62" s="109"/>
      <c r="AL62" s="189"/>
      <c r="AM62" s="189"/>
      <c r="AN62" s="109"/>
    </row>
    <row r="63" spans="1:47" s="138" customFormat="1" ht="300" customHeight="1" x14ac:dyDescent="0.25">
      <c r="A63" s="28">
        <v>1</v>
      </c>
      <c r="B63" s="98" t="s">
        <v>61</v>
      </c>
      <c r="C63" s="98" t="s">
        <v>62</v>
      </c>
      <c r="D63" s="98">
        <v>201427403</v>
      </c>
      <c r="E63" s="98">
        <v>1000148978</v>
      </c>
      <c r="F63" s="108" t="s">
        <v>405</v>
      </c>
      <c r="G63" s="98">
        <v>8000690192</v>
      </c>
      <c r="H63" s="99">
        <v>45702</v>
      </c>
      <c r="I63" s="100" t="s">
        <v>406</v>
      </c>
      <c r="J63" s="100" t="s">
        <v>368</v>
      </c>
      <c r="K63" s="101">
        <v>93824284</v>
      </c>
      <c r="L63" s="101"/>
      <c r="M63" s="100" t="s">
        <v>11</v>
      </c>
      <c r="N63" s="100" t="s">
        <v>4716</v>
      </c>
      <c r="O63" s="100"/>
      <c r="P63" s="98" t="s">
        <v>419</v>
      </c>
      <c r="Q63" s="98" t="s">
        <v>13</v>
      </c>
      <c r="R63" s="98" t="s">
        <v>662</v>
      </c>
      <c r="S63" s="101">
        <v>93211707.900000006</v>
      </c>
      <c r="T63" s="101">
        <v>95322126.629999995</v>
      </c>
      <c r="U63" s="101">
        <v>0</v>
      </c>
      <c r="V63" s="50"/>
      <c r="W63" s="50"/>
      <c r="X63" s="50"/>
      <c r="Y63" s="50"/>
      <c r="Z63" s="50"/>
      <c r="AA63" s="28"/>
      <c r="AB63" s="28"/>
      <c r="AC63" s="400" t="s">
        <v>1524</v>
      </c>
      <c r="AD63" s="400" t="s">
        <v>1525</v>
      </c>
      <c r="AE63" s="408" t="s">
        <v>739</v>
      </c>
      <c r="AF63" s="28"/>
      <c r="AG63" s="28" t="s">
        <v>1141</v>
      </c>
      <c r="AH63" s="28" t="s">
        <v>1141</v>
      </c>
      <c r="AI63" s="28" t="s">
        <v>1592</v>
      </c>
      <c r="AJ63" s="28" t="s">
        <v>1414</v>
      </c>
      <c r="AK63" s="50" t="s">
        <v>4663</v>
      </c>
      <c r="AL63" s="408" t="s">
        <v>4509</v>
      </c>
      <c r="AM63" s="28" t="s">
        <v>4508</v>
      </c>
      <c r="AN63" s="462" t="s">
        <v>4642</v>
      </c>
      <c r="AP63" s="138">
        <v>1</v>
      </c>
    </row>
    <row r="64" spans="1:47" s="138" customFormat="1" ht="59.25" customHeight="1" x14ac:dyDescent="0.25">
      <c r="A64" s="28"/>
      <c r="B64" s="98" t="s">
        <v>61</v>
      </c>
      <c r="C64" s="98" t="s">
        <v>62</v>
      </c>
      <c r="D64" s="98">
        <v>201427403</v>
      </c>
      <c r="E64" s="98">
        <v>1000148978</v>
      </c>
      <c r="F64" s="108" t="s">
        <v>421</v>
      </c>
      <c r="G64" s="98">
        <v>9000528901</v>
      </c>
      <c r="H64" s="99">
        <v>45736</v>
      </c>
      <c r="I64" s="100" t="s">
        <v>422</v>
      </c>
      <c r="J64" s="100" t="s">
        <v>368</v>
      </c>
      <c r="K64" s="101">
        <v>8321004.1500000004</v>
      </c>
      <c r="L64" s="101"/>
      <c r="M64" s="100"/>
      <c r="N64" s="100"/>
      <c r="O64" s="100"/>
      <c r="P64" s="98"/>
      <c r="Q64" s="98" t="s">
        <v>423</v>
      </c>
      <c r="R64" s="100"/>
      <c r="S64" s="100"/>
      <c r="T64" s="100"/>
      <c r="U64" s="100"/>
      <c r="V64" s="100"/>
      <c r="W64" s="100"/>
      <c r="X64" s="100"/>
      <c r="Y64" s="100"/>
      <c r="Z64" s="100"/>
      <c r="AA64" s="100"/>
      <c r="AB64" s="100"/>
      <c r="AC64" s="100"/>
      <c r="AD64" s="400"/>
      <c r="AE64" s="408"/>
      <c r="AF64" s="28"/>
      <c r="AG64" s="28"/>
      <c r="AH64" s="28"/>
      <c r="AI64" s="28"/>
      <c r="AJ64" s="28"/>
      <c r="AK64" s="50"/>
      <c r="AL64" s="408"/>
      <c r="AM64" s="28"/>
      <c r="AN64" s="51"/>
    </row>
    <row r="65" spans="1:45" s="138" customFormat="1" ht="59.25" customHeight="1" x14ac:dyDescent="0.25">
      <c r="A65" s="28"/>
      <c r="B65" s="98" t="s">
        <v>61</v>
      </c>
      <c r="C65" s="98" t="s">
        <v>62</v>
      </c>
      <c r="D65" s="98">
        <v>201427403</v>
      </c>
      <c r="E65" s="98">
        <v>1000148978</v>
      </c>
      <c r="F65" s="108" t="s">
        <v>477</v>
      </c>
      <c r="G65" s="98">
        <v>9000540824</v>
      </c>
      <c r="H65" s="99">
        <v>45756</v>
      </c>
      <c r="I65" s="100" t="s">
        <v>478</v>
      </c>
      <c r="J65" s="100" t="s">
        <v>368</v>
      </c>
      <c r="K65" s="101">
        <v>17307392.760000002</v>
      </c>
      <c r="L65" s="101"/>
      <c r="M65" s="100"/>
      <c r="N65" s="100"/>
      <c r="O65" s="100"/>
      <c r="P65" s="98"/>
      <c r="Q65" s="98" t="s">
        <v>423</v>
      </c>
      <c r="R65" s="100"/>
      <c r="S65" s="100"/>
      <c r="T65" s="100"/>
      <c r="U65" s="100"/>
      <c r="V65" s="100"/>
      <c r="W65" s="100"/>
      <c r="X65" s="100"/>
      <c r="Y65" s="100"/>
      <c r="Z65" s="100"/>
      <c r="AA65" s="100"/>
      <c r="AB65" s="100"/>
      <c r="AC65" s="100"/>
      <c r="AD65" s="400"/>
      <c r="AE65" s="408"/>
      <c r="AF65" s="28"/>
      <c r="AG65" s="28"/>
      <c r="AH65" s="28"/>
      <c r="AI65" s="28"/>
      <c r="AJ65" s="28"/>
      <c r="AK65" s="50"/>
      <c r="AL65" s="408"/>
      <c r="AM65" s="28"/>
      <c r="AN65" s="51"/>
    </row>
    <row r="66" spans="1:45" s="138" customFormat="1" ht="44.25" customHeight="1" x14ac:dyDescent="0.25">
      <c r="A66" s="28"/>
      <c r="B66" s="98" t="s">
        <v>61</v>
      </c>
      <c r="C66" s="98" t="s">
        <v>62</v>
      </c>
      <c r="D66" s="98">
        <v>201427403</v>
      </c>
      <c r="E66" s="98">
        <v>1000148978</v>
      </c>
      <c r="F66" s="108" t="s">
        <v>504</v>
      </c>
      <c r="G66" s="98">
        <v>9000543622</v>
      </c>
      <c r="H66" s="99" t="s">
        <v>505</v>
      </c>
      <c r="I66" s="100" t="s">
        <v>506</v>
      </c>
      <c r="J66" s="100" t="s">
        <v>368</v>
      </c>
      <c r="K66" s="101"/>
      <c r="L66" s="101"/>
      <c r="M66" s="100"/>
      <c r="N66" s="100"/>
      <c r="O66" s="100"/>
      <c r="P66" s="98"/>
      <c r="Q66" s="98" t="s">
        <v>423</v>
      </c>
      <c r="R66" s="98"/>
      <c r="S66" s="100"/>
      <c r="T66" s="100"/>
      <c r="U66" s="100"/>
      <c r="V66" s="100"/>
      <c r="W66" s="100"/>
      <c r="X66" s="100"/>
      <c r="Y66" s="100"/>
      <c r="Z66" s="100"/>
      <c r="AA66" s="100"/>
      <c r="AB66" s="100"/>
      <c r="AC66" s="100"/>
      <c r="AD66" s="400"/>
      <c r="AE66" s="408"/>
      <c r="AF66" s="28"/>
      <c r="AG66" s="28"/>
      <c r="AH66" s="28"/>
      <c r="AI66" s="28"/>
      <c r="AJ66" s="28"/>
      <c r="AK66" s="50"/>
      <c r="AL66" s="408"/>
      <c r="AM66" s="28"/>
      <c r="AN66" s="51"/>
    </row>
    <row r="67" spans="1:45" s="138" customFormat="1" ht="59.25" customHeight="1" x14ac:dyDescent="0.25">
      <c r="A67" s="28"/>
      <c r="B67" s="98" t="s">
        <v>61</v>
      </c>
      <c r="C67" s="98" t="s">
        <v>62</v>
      </c>
      <c r="D67" s="98">
        <v>201427403</v>
      </c>
      <c r="E67" s="98">
        <v>1000148978</v>
      </c>
      <c r="F67" s="108" t="s">
        <v>552</v>
      </c>
      <c r="G67" s="98">
        <v>9000547373</v>
      </c>
      <c r="H67" s="99">
        <v>45806</v>
      </c>
      <c r="I67" s="100" t="s">
        <v>553</v>
      </c>
      <c r="J67" s="100" t="s">
        <v>368</v>
      </c>
      <c r="K67" s="101"/>
      <c r="L67" s="101"/>
      <c r="M67" s="100"/>
      <c r="N67" s="100"/>
      <c r="O67" s="100"/>
      <c r="P67" s="98"/>
      <c r="Q67" s="98" t="s">
        <v>423</v>
      </c>
      <c r="R67" s="98"/>
      <c r="S67" s="100"/>
      <c r="T67" s="100"/>
      <c r="U67" s="100"/>
      <c r="V67" s="100"/>
      <c r="W67" s="100"/>
      <c r="X67" s="100"/>
      <c r="Y67" s="100"/>
      <c r="Z67" s="100"/>
      <c r="AA67" s="100"/>
      <c r="AB67" s="100"/>
      <c r="AC67" s="100"/>
      <c r="AD67" s="400"/>
      <c r="AE67" s="408"/>
      <c r="AF67" s="28"/>
      <c r="AG67" s="28"/>
      <c r="AH67" s="28"/>
      <c r="AI67" s="28"/>
      <c r="AJ67" s="28"/>
      <c r="AK67" s="50"/>
      <c r="AL67" s="408"/>
      <c r="AM67" s="28"/>
      <c r="AN67" s="51"/>
    </row>
    <row r="68" spans="1:45" s="138" customFormat="1" ht="55.5" customHeight="1" x14ac:dyDescent="0.25">
      <c r="A68" s="28"/>
      <c r="B68" s="98" t="s">
        <v>61</v>
      </c>
      <c r="C68" s="98" t="s">
        <v>62</v>
      </c>
      <c r="D68" s="98">
        <v>201427403</v>
      </c>
      <c r="E68" s="98">
        <v>1000148978</v>
      </c>
      <c r="F68" s="413" t="s">
        <v>631</v>
      </c>
      <c r="G68" s="98">
        <v>9000551557</v>
      </c>
      <c r="H68" s="99">
        <v>45828</v>
      </c>
      <c r="I68" s="100" t="s">
        <v>632</v>
      </c>
      <c r="J68" s="100" t="s">
        <v>357</v>
      </c>
      <c r="K68" s="101"/>
      <c r="L68" s="101"/>
      <c r="M68" s="100"/>
      <c r="N68" s="100"/>
      <c r="O68" s="100"/>
      <c r="P68" s="98"/>
      <c r="Q68" s="98" t="s">
        <v>423</v>
      </c>
      <c r="R68" s="98"/>
      <c r="S68" s="100"/>
      <c r="T68" s="100"/>
      <c r="U68" s="100"/>
      <c r="V68" s="100"/>
      <c r="W68" s="100"/>
      <c r="X68" s="100"/>
      <c r="Y68" s="100"/>
      <c r="Z68" s="100"/>
      <c r="AA68" s="100"/>
      <c r="AB68" s="100"/>
      <c r="AC68" s="100"/>
      <c r="AD68" s="400"/>
      <c r="AE68" s="408"/>
      <c r="AF68" s="28"/>
      <c r="AG68" s="28"/>
      <c r="AH68" s="28"/>
      <c r="AI68" s="28"/>
      <c r="AJ68" s="28"/>
      <c r="AK68" s="50"/>
      <c r="AL68" s="408"/>
      <c r="AM68" s="28"/>
      <c r="AN68" s="51"/>
    </row>
    <row r="69" spans="1:45" s="138" customFormat="1" ht="53.25" customHeight="1" x14ac:dyDescent="0.25">
      <c r="A69" s="28"/>
      <c r="B69" s="98" t="s">
        <v>61</v>
      </c>
      <c r="C69" s="98" t="s">
        <v>62</v>
      </c>
      <c r="D69" s="98">
        <v>201427403</v>
      </c>
      <c r="E69" s="98">
        <v>1000148978</v>
      </c>
      <c r="F69" s="414" t="s">
        <v>814</v>
      </c>
      <c r="G69" s="98">
        <v>9000558225</v>
      </c>
      <c r="H69" s="99">
        <v>45869</v>
      </c>
      <c r="I69" s="100" t="s">
        <v>815</v>
      </c>
      <c r="J69" s="100" t="s">
        <v>357</v>
      </c>
      <c r="K69" s="101"/>
      <c r="L69" s="101"/>
      <c r="M69" s="100"/>
      <c r="N69" s="100"/>
      <c r="O69" s="100"/>
      <c r="P69" s="98"/>
      <c r="Q69" s="98" t="s">
        <v>816</v>
      </c>
      <c r="R69" s="98"/>
      <c r="S69" s="100"/>
      <c r="T69" s="100"/>
      <c r="U69" s="100"/>
      <c r="V69" s="100"/>
      <c r="W69" s="100"/>
      <c r="X69" s="100"/>
      <c r="Y69" s="100"/>
      <c r="Z69" s="100"/>
      <c r="AA69" s="100"/>
      <c r="AB69" s="100"/>
      <c r="AC69" s="100"/>
      <c r="AD69" s="400"/>
      <c r="AE69" s="408"/>
      <c r="AF69" s="28"/>
      <c r="AG69" s="28"/>
      <c r="AH69" s="28"/>
      <c r="AI69" s="28"/>
      <c r="AJ69" s="28"/>
      <c r="AK69" s="50"/>
      <c r="AL69" s="408"/>
      <c r="AM69" s="28"/>
      <c r="AN69" s="51"/>
    </row>
    <row r="70" spans="1:45" s="2" customFormat="1" ht="54" customHeight="1" x14ac:dyDescent="0.25">
      <c r="A70" s="28"/>
      <c r="B70" s="98" t="s">
        <v>61</v>
      </c>
      <c r="C70" s="98" t="s">
        <v>62</v>
      </c>
      <c r="D70" s="98">
        <v>201427403</v>
      </c>
      <c r="E70" s="98">
        <v>1000148978</v>
      </c>
      <c r="F70" s="414" t="s">
        <v>975</v>
      </c>
      <c r="G70" s="98">
        <v>9000564977</v>
      </c>
      <c r="H70" s="99">
        <v>45910</v>
      </c>
      <c r="I70" s="100" t="s">
        <v>976</v>
      </c>
      <c r="J70" s="100" t="s">
        <v>357</v>
      </c>
      <c r="K70" s="101"/>
      <c r="L70" s="101"/>
      <c r="M70" s="100"/>
      <c r="N70" s="100"/>
      <c r="O70" s="100"/>
      <c r="P70" s="98"/>
      <c r="Q70" s="98" t="s">
        <v>423</v>
      </c>
      <c r="R70" s="98"/>
      <c r="S70" s="100"/>
      <c r="T70" s="100"/>
      <c r="U70" s="100"/>
      <c r="V70" s="100"/>
      <c r="W70" s="100"/>
      <c r="X70" s="100"/>
      <c r="Y70" s="100"/>
      <c r="Z70" s="100"/>
      <c r="AA70" s="100"/>
      <c r="AB70" s="100"/>
      <c r="AC70" s="100"/>
      <c r="AD70" s="28"/>
      <c r="AE70" s="28"/>
      <c r="AF70" s="28"/>
      <c r="AG70" s="28"/>
      <c r="AH70" s="28"/>
      <c r="AI70" s="28"/>
      <c r="AJ70" s="28"/>
      <c r="AK70" s="50"/>
      <c r="AL70" s="28"/>
      <c r="AM70" s="28"/>
      <c r="AN70" s="50"/>
    </row>
    <row r="71" spans="1:45" s="2" customFormat="1" ht="48.75" customHeight="1" x14ac:dyDescent="0.25">
      <c r="A71" s="28"/>
      <c r="B71" s="98" t="s">
        <v>61</v>
      </c>
      <c r="C71" s="98" t="s">
        <v>62</v>
      </c>
      <c r="D71" s="98">
        <v>201427403</v>
      </c>
      <c r="E71" s="98">
        <v>1000148978</v>
      </c>
      <c r="F71" s="415" t="s">
        <v>1452</v>
      </c>
      <c r="G71" s="98">
        <v>9000572531</v>
      </c>
      <c r="H71" s="99">
        <v>45950</v>
      </c>
      <c r="I71" s="100" t="s">
        <v>1453</v>
      </c>
      <c r="J71" s="100" t="s">
        <v>357</v>
      </c>
      <c r="K71" s="101"/>
      <c r="L71" s="101"/>
      <c r="M71" s="100"/>
      <c r="N71" s="100"/>
      <c r="O71" s="100"/>
      <c r="P71" s="98"/>
      <c r="Q71" s="98" t="s">
        <v>423</v>
      </c>
      <c r="R71" s="98"/>
      <c r="S71" s="98"/>
      <c r="T71" s="100"/>
      <c r="U71" s="100"/>
      <c r="V71" s="50"/>
      <c r="W71" s="50"/>
      <c r="X71" s="50"/>
      <c r="Y71" s="50"/>
      <c r="Z71" s="50"/>
      <c r="AA71" s="28"/>
      <c r="AB71" s="28"/>
      <c r="AC71" s="28"/>
      <c r="AD71" s="28"/>
      <c r="AE71" s="28"/>
      <c r="AF71" s="28"/>
      <c r="AG71" s="28"/>
      <c r="AH71" s="28"/>
      <c r="AI71" s="28"/>
      <c r="AJ71" s="28"/>
      <c r="AK71" s="50"/>
      <c r="AL71" s="28"/>
      <c r="AM71" s="28"/>
      <c r="AN71" s="50"/>
    </row>
    <row r="72" spans="1:45" s="2" customFormat="1" ht="46.5" customHeight="1" x14ac:dyDescent="0.25">
      <c r="A72" s="28"/>
      <c r="B72" s="98" t="s">
        <v>61</v>
      </c>
      <c r="C72" s="98" t="s">
        <v>62</v>
      </c>
      <c r="D72" s="98">
        <v>201427403</v>
      </c>
      <c r="E72" s="98">
        <v>1000148978</v>
      </c>
      <c r="F72" s="415" t="s">
        <v>1454</v>
      </c>
      <c r="G72" s="98">
        <v>9000576284</v>
      </c>
      <c r="H72" s="99">
        <v>45975</v>
      </c>
      <c r="I72" s="100" t="s">
        <v>1455</v>
      </c>
      <c r="J72" s="100" t="s">
        <v>357</v>
      </c>
      <c r="K72" s="101"/>
      <c r="L72" s="101"/>
      <c r="M72" s="100"/>
      <c r="N72" s="100"/>
      <c r="O72" s="100"/>
      <c r="P72" s="98"/>
      <c r="Q72" s="98" t="s">
        <v>423</v>
      </c>
      <c r="R72" s="98"/>
      <c r="S72" s="98"/>
      <c r="T72" s="100"/>
      <c r="U72" s="100"/>
      <c r="V72" s="50"/>
      <c r="W72" s="50"/>
      <c r="X72" s="50"/>
      <c r="Y72" s="50"/>
      <c r="Z72" s="50"/>
      <c r="AA72" s="28"/>
      <c r="AB72" s="28"/>
      <c r="AC72" s="28"/>
      <c r="AD72" s="28"/>
      <c r="AE72" s="28"/>
      <c r="AF72" s="28"/>
      <c r="AG72" s="28"/>
      <c r="AH72" s="28"/>
      <c r="AI72" s="28"/>
      <c r="AJ72" s="28"/>
      <c r="AK72" s="50"/>
      <c r="AL72" s="28"/>
      <c r="AM72" s="28"/>
      <c r="AN72" s="50"/>
    </row>
    <row r="73" spans="1:45" s="2" customFormat="1" ht="51" customHeight="1" x14ac:dyDescent="0.25">
      <c r="A73" s="28"/>
      <c r="B73" s="98" t="s">
        <v>61</v>
      </c>
      <c r="C73" s="98" t="s">
        <v>62</v>
      </c>
      <c r="D73" s="98">
        <v>201427403</v>
      </c>
      <c r="E73" s="98">
        <v>1000148978</v>
      </c>
      <c r="F73" s="415" t="s">
        <v>1456</v>
      </c>
      <c r="G73" s="98">
        <v>9000592825</v>
      </c>
      <c r="H73" s="99">
        <v>46009</v>
      </c>
      <c r="I73" s="100" t="s">
        <v>1457</v>
      </c>
      <c r="J73" s="100" t="s">
        <v>357</v>
      </c>
      <c r="K73" s="101"/>
      <c r="L73" s="101"/>
      <c r="M73" s="100"/>
      <c r="N73" s="100"/>
      <c r="O73" s="100"/>
      <c r="P73" s="98"/>
      <c r="Q73" s="98" t="s">
        <v>423</v>
      </c>
      <c r="R73" s="98"/>
      <c r="S73" s="98"/>
      <c r="T73" s="100"/>
      <c r="U73" s="100"/>
      <c r="V73" s="50"/>
      <c r="W73" s="50"/>
      <c r="X73" s="50"/>
      <c r="Y73" s="50"/>
      <c r="Z73" s="50"/>
      <c r="AA73" s="28"/>
      <c r="AB73" s="28"/>
      <c r="AC73" s="28"/>
      <c r="AD73" s="28"/>
      <c r="AE73" s="28"/>
      <c r="AF73" s="28"/>
      <c r="AG73" s="28"/>
      <c r="AH73" s="28"/>
      <c r="AI73" s="28"/>
      <c r="AJ73" s="28"/>
      <c r="AK73" s="50"/>
      <c r="AL73" s="28"/>
      <c r="AM73" s="28"/>
      <c r="AN73" s="50"/>
    </row>
    <row r="74" spans="1:45" s="190" customFormat="1" x14ac:dyDescent="0.25">
      <c r="A74" s="398"/>
      <c r="B74" s="8"/>
      <c r="C74" s="8"/>
      <c r="D74" s="8"/>
      <c r="E74" s="8"/>
      <c r="F74" s="191"/>
      <c r="G74" s="8"/>
      <c r="H74" s="38"/>
      <c r="I74" s="15"/>
      <c r="J74" s="6"/>
      <c r="K74" s="65"/>
      <c r="L74" s="259">
        <f>SUM(K63:K67)</f>
        <v>119452680.91000001</v>
      </c>
      <c r="M74" s="259"/>
      <c r="N74" s="8"/>
      <c r="O74" s="8"/>
      <c r="P74" s="6"/>
      <c r="Q74" s="6"/>
      <c r="R74" s="6"/>
      <c r="S74" s="42">
        <f>L74-S63</f>
        <v>26240973.010000005</v>
      </c>
      <c r="T74" s="42"/>
      <c r="U74" s="42"/>
      <c r="V74" s="42"/>
      <c r="W74" s="42"/>
      <c r="X74" s="42"/>
      <c r="Y74" s="42"/>
      <c r="Z74" s="42"/>
      <c r="AA74" s="42"/>
      <c r="AB74" s="42"/>
      <c r="AC74" s="42"/>
      <c r="AD74" s="42"/>
      <c r="AE74" s="42"/>
      <c r="AF74" s="42"/>
      <c r="AG74" s="189"/>
      <c r="AH74" s="189"/>
      <c r="AI74" s="189"/>
      <c r="AJ74" s="189"/>
      <c r="AK74" s="109"/>
      <c r="AL74" s="189"/>
      <c r="AM74" s="189"/>
      <c r="AN74" s="109"/>
    </row>
    <row r="75" spans="1:45" s="138" customFormat="1" ht="75" x14ac:dyDescent="0.25">
      <c r="A75" s="28">
        <v>1</v>
      </c>
      <c r="B75" s="98" t="s">
        <v>380</v>
      </c>
      <c r="C75" s="98" t="s">
        <v>193</v>
      </c>
      <c r="D75" s="98" t="s">
        <v>537</v>
      </c>
      <c r="E75" s="98">
        <v>1000128349</v>
      </c>
      <c r="F75" s="108" t="s">
        <v>538</v>
      </c>
      <c r="G75" s="98">
        <v>8000738075</v>
      </c>
      <c r="H75" s="99">
        <v>45810</v>
      </c>
      <c r="I75" s="100" t="s">
        <v>539</v>
      </c>
      <c r="J75" s="100"/>
      <c r="K75" s="101">
        <v>39180000</v>
      </c>
      <c r="L75" s="101"/>
      <c r="M75" s="100" t="s">
        <v>11</v>
      </c>
      <c r="N75" s="100" t="s">
        <v>540</v>
      </c>
      <c r="O75" s="100"/>
      <c r="P75" s="98" t="s">
        <v>541</v>
      </c>
      <c r="Q75" s="98" t="s">
        <v>168</v>
      </c>
      <c r="R75" s="98" t="s">
        <v>993</v>
      </c>
      <c r="S75" s="101">
        <v>0</v>
      </c>
      <c r="T75" s="101">
        <v>3000000</v>
      </c>
      <c r="U75" s="101">
        <v>3000000</v>
      </c>
      <c r="V75" s="50"/>
      <c r="W75" s="50"/>
      <c r="X75" s="50"/>
      <c r="Y75" s="50"/>
      <c r="Z75" s="50"/>
      <c r="AA75" s="28"/>
      <c r="AB75" s="57" t="s">
        <v>206</v>
      </c>
      <c r="AC75" s="400" t="s">
        <v>798</v>
      </c>
      <c r="AD75" s="400" t="s">
        <v>609</v>
      </c>
      <c r="AE75" s="408" t="s">
        <v>796</v>
      </c>
      <c r="AF75" s="28"/>
      <c r="AG75" s="28" t="s">
        <v>1142</v>
      </c>
      <c r="AH75" s="28" t="s">
        <v>1386</v>
      </c>
      <c r="AI75" s="28"/>
      <c r="AJ75" s="28"/>
      <c r="AK75" s="50" t="s">
        <v>4468</v>
      </c>
      <c r="AL75" s="408" t="s">
        <v>1614</v>
      </c>
      <c r="AM75" s="28" t="s">
        <v>4594</v>
      </c>
      <c r="AN75" s="401" t="s">
        <v>4692</v>
      </c>
      <c r="AQ75" s="138">
        <v>1</v>
      </c>
    </row>
    <row r="76" spans="1:45" s="190" customFormat="1" x14ac:dyDescent="0.25">
      <c r="A76" s="398"/>
      <c r="B76" s="8">
        <v>1</v>
      </c>
      <c r="C76" s="8"/>
      <c r="D76" s="8"/>
      <c r="E76" s="8"/>
      <c r="F76" s="191"/>
      <c r="G76" s="8"/>
      <c r="H76" s="38"/>
      <c r="I76" s="15"/>
      <c r="J76" s="6"/>
      <c r="K76" s="65"/>
      <c r="L76" s="259"/>
      <c r="M76" s="259"/>
      <c r="N76" s="8"/>
      <c r="O76" s="8"/>
      <c r="P76" s="6"/>
      <c r="Q76" s="6"/>
      <c r="R76" s="6"/>
      <c r="S76" s="42">
        <f>K75-S75</f>
        <v>39180000</v>
      </c>
      <c r="T76" s="42"/>
      <c r="U76" s="42"/>
      <c r="V76" s="42"/>
      <c r="W76" s="42"/>
      <c r="X76" s="42"/>
      <c r="Y76" s="42"/>
      <c r="Z76" s="42"/>
      <c r="AA76" s="42"/>
      <c r="AB76" s="42"/>
      <c r="AC76" s="42"/>
      <c r="AD76" s="42"/>
      <c r="AE76" s="42"/>
      <c r="AF76" s="42"/>
      <c r="AG76" s="189"/>
      <c r="AH76" s="189"/>
      <c r="AI76" s="189"/>
      <c r="AJ76" s="189"/>
      <c r="AK76" s="109"/>
      <c r="AL76" s="189"/>
      <c r="AM76" s="189"/>
      <c r="AN76" s="109"/>
    </row>
    <row r="77" spans="1:45" s="170" customFormat="1" ht="409.5" x14ac:dyDescent="0.25">
      <c r="A77" s="28">
        <v>1</v>
      </c>
      <c r="B77" s="98" t="s">
        <v>590</v>
      </c>
      <c r="C77" s="98" t="s">
        <v>591</v>
      </c>
      <c r="D77" s="98">
        <v>5401379138</v>
      </c>
      <c r="E77" s="98">
        <v>1000121917</v>
      </c>
      <c r="F77" s="108" t="s">
        <v>592</v>
      </c>
      <c r="G77" s="98">
        <v>8000746279</v>
      </c>
      <c r="H77" s="99">
        <v>45832</v>
      </c>
      <c r="I77" s="100" t="s">
        <v>593</v>
      </c>
      <c r="J77" s="100" t="s">
        <v>594</v>
      </c>
      <c r="K77" s="101">
        <v>184689345.84999999</v>
      </c>
      <c r="L77" s="101"/>
      <c r="M77" s="100" t="s">
        <v>595</v>
      </c>
      <c r="N77" s="100" t="s">
        <v>596</v>
      </c>
      <c r="O77" s="416">
        <v>46022</v>
      </c>
      <c r="P77" s="98" t="s">
        <v>597</v>
      </c>
      <c r="Q77" s="98" t="s">
        <v>168</v>
      </c>
      <c r="R77" s="98" t="s">
        <v>993</v>
      </c>
      <c r="S77" s="101">
        <v>0</v>
      </c>
      <c r="T77" s="101">
        <v>18468934.579999998</v>
      </c>
      <c r="U77" s="101" t="s">
        <v>1615</v>
      </c>
      <c r="V77" s="50"/>
      <c r="W77" s="50"/>
      <c r="X77" s="50"/>
      <c r="Y77" s="50"/>
      <c r="Z77" s="50"/>
      <c r="AA77" s="28"/>
      <c r="AB77" s="57" t="s">
        <v>598</v>
      </c>
      <c r="AC77" s="400" t="s">
        <v>1531</v>
      </c>
      <c r="AD77" s="400" t="s">
        <v>1532</v>
      </c>
      <c r="AE77" s="408" t="s">
        <v>1085</v>
      </c>
      <c r="AF77" s="28"/>
      <c r="AG77" s="28" t="s">
        <v>1131</v>
      </c>
      <c r="AH77" s="28" t="s">
        <v>1387</v>
      </c>
      <c r="AI77" s="28" t="s">
        <v>1617</v>
      </c>
      <c r="AJ77" s="28" t="s">
        <v>1683</v>
      </c>
      <c r="AK77" s="50" t="s">
        <v>4606</v>
      </c>
      <c r="AL77" s="408"/>
      <c r="AM77" s="28" t="s">
        <v>4514</v>
      </c>
      <c r="AN77" s="463" t="s">
        <v>4589</v>
      </c>
      <c r="AS77" s="170">
        <v>1</v>
      </c>
    </row>
    <row r="78" spans="1:45" s="255" customFormat="1" ht="75" x14ac:dyDescent="0.25">
      <c r="A78" s="28"/>
      <c r="B78" s="98" t="s">
        <v>590</v>
      </c>
      <c r="C78" s="98" t="s">
        <v>591</v>
      </c>
      <c r="D78" s="98">
        <v>5401379138</v>
      </c>
      <c r="E78" s="98">
        <v>1000121917</v>
      </c>
      <c r="F78" s="108" t="s">
        <v>1533</v>
      </c>
      <c r="G78" s="98">
        <v>9000555782</v>
      </c>
      <c r="H78" s="99" t="s">
        <v>1534</v>
      </c>
      <c r="I78" s="100" t="s">
        <v>1535</v>
      </c>
      <c r="J78" s="100" t="s">
        <v>594</v>
      </c>
      <c r="K78" s="101">
        <v>0</v>
      </c>
      <c r="L78" s="101"/>
      <c r="M78" s="100" t="s">
        <v>11</v>
      </c>
      <c r="N78" s="100"/>
      <c r="O78" s="100"/>
      <c r="P78" s="98"/>
      <c r="Q78" s="98" t="s">
        <v>168</v>
      </c>
      <c r="R78" s="98" t="s">
        <v>39</v>
      </c>
      <c r="S78" s="98"/>
      <c r="T78" s="417"/>
      <c r="U78" s="100"/>
      <c r="V78" s="50"/>
      <c r="W78" s="50"/>
      <c r="X78" s="50"/>
      <c r="Y78" s="50"/>
      <c r="Z78" s="50"/>
      <c r="AA78" s="28"/>
      <c r="AB78" s="57"/>
      <c r="AC78" s="28"/>
      <c r="AD78" s="28"/>
      <c r="AE78" s="28"/>
      <c r="AF78" s="28"/>
      <c r="AG78" s="28"/>
      <c r="AH78" s="28"/>
      <c r="AI78" s="28"/>
      <c r="AJ78" s="28"/>
      <c r="AK78" s="50"/>
      <c r="AL78" s="28"/>
      <c r="AM78" s="28"/>
      <c r="AN78" s="50"/>
    </row>
    <row r="79" spans="1:45" s="255" customFormat="1" ht="75" x14ac:dyDescent="0.25">
      <c r="A79" s="28"/>
      <c r="B79" s="98" t="s">
        <v>590</v>
      </c>
      <c r="C79" s="98" t="s">
        <v>591</v>
      </c>
      <c r="D79" s="98">
        <v>5401379138</v>
      </c>
      <c r="E79" s="98">
        <v>1000121917</v>
      </c>
      <c r="F79" s="108" t="s">
        <v>4511</v>
      </c>
      <c r="G79" s="98">
        <v>9000600330</v>
      </c>
      <c r="H79" s="99">
        <v>46078</v>
      </c>
      <c r="I79" s="100" t="s">
        <v>4512</v>
      </c>
      <c r="J79" s="100" t="s">
        <v>594</v>
      </c>
      <c r="K79" s="101">
        <f>12773170.65*1.22</f>
        <v>15583268.193</v>
      </c>
      <c r="L79" s="101"/>
      <c r="M79" s="100" t="s">
        <v>11</v>
      </c>
      <c r="N79" s="100" t="s">
        <v>4513</v>
      </c>
      <c r="O79" s="100"/>
      <c r="P79" s="98"/>
      <c r="Q79" s="98" t="s">
        <v>168</v>
      </c>
      <c r="R79" s="98" t="s">
        <v>39</v>
      </c>
      <c r="S79" s="98"/>
      <c r="T79" s="417"/>
      <c r="U79" s="100"/>
      <c r="V79" s="50"/>
      <c r="W79" s="50"/>
      <c r="X79" s="50"/>
      <c r="Y79" s="50"/>
      <c r="Z79" s="50"/>
      <c r="AA79" s="28"/>
      <c r="AB79" s="57"/>
      <c r="AC79" s="28"/>
      <c r="AD79" s="28"/>
      <c r="AE79" s="28"/>
      <c r="AF79" s="28"/>
      <c r="AG79" s="28"/>
      <c r="AH79" s="28"/>
      <c r="AI79" s="28"/>
      <c r="AJ79" s="28"/>
      <c r="AK79" s="50"/>
      <c r="AL79" s="28"/>
      <c r="AM79" s="28"/>
      <c r="AN79" s="50"/>
    </row>
    <row r="80" spans="1:45" s="190" customFormat="1" x14ac:dyDescent="0.25">
      <c r="A80" s="398"/>
      <c r="B80" s="8"/>
      <c r="C80" s="8"/>
      <c r="D80" s="8"/>
      <c r="E80" s="8"/>
      <c r="F80" s="191"/>
      <c r="G80" s="8"/>
      <c r="H80" s="38"/>
      <c r="I80" s="15"/>
      <c r="J80" s="6"/>
      <c r="K80" s="65"/>
      <c r="L80" s="259">
        <f>SUM(K77:K79)</f>
        <v>200272614.04299998</v>
      </c>
      <c r="M80" s="259"/>
      <c r="N80" s="8"/>
      <c r="O80" s="8"/>
      <c r="P80" s="6"/>
      <c r="Q80" s="6"/>
      <c r="R80" s="6"/>
      <c r="S80" s="42"/>
      <c r="T80" s="42"/>
      <c r="U80" s="42"/>
      <c r="V80" s="42"/>
      <c r="W80" s="42"/>
      <c r="X80" s="42"/>
      <c r="Y80" s="42"/>
      <c r="Z80" s="42"/>
      <c r="AA80" s="42"/>
      <c r="AB80" s="42"/>
      <c r="AC80" s="42"/>
      <c r="AD80" s="42"/>
      <c r="AE80" s="42"/>
      <c r="AF80" s="42"/>
      <c r="AG80" s="189"/>
      <c r="AH80" s="189"/>
      <c r="AI80" s="189"/>
      <c r="AJ80" s="189"/>
      <c r="AK80" s="109"/>
      <c r="AL80" s="189"/>
      <c r="AM80" s="189"/>
      <c r="AN80" s="109"/>
    </row>
    <row r="81" spans="1:46" s="138" customFormat="1" ht="315" x14ac:dyDescent="0.25">
      <c r="A81" s="28">
        <v>1</v>
      </c>
      <c r="B81" s="98" t="s">
        <v>642</v>
      </c>
      <c r="C81" s="98" t="s">
        <v>643</v>
      </c>
      <c r="D81" s="98">
        <v>7725273632</v>
      </c>
      <c r="E81" s="98">
        <v>1000111184</v>
      </c>
      <c r="F81" s="108" t="s">
        <v>644</v>
      </c>
      <c r="G81" s="98">
        <v>8000732760</v>
      </c>
      <c r="H81" s="99">
        <v>45833</v>
      </c>
      <c r="I81" s="100" t="s">
        <v>4717</v>
      </c>
      <c r="J81" s="100" t="s">
        <v>645</v>
      </c>
      <c r="K81" s="101">
        <v>68746301.230000004</v>
      </c>
      <c r="L81" s="101"/>
      <c r="M81" s="100" t="s">
        <v>4718</v>
      </c>
      <c r="N81" s="100" t="s">
        <v>4719</v>
      </c>
      <c r="O81" s="100"/>
      <c r="P81" s="98" t="s">
        <v>646</v>
      </c>
      <c r="Q81" s="98" t="s">
        <v>168</v>
      </c>
      <c r="R81" s="98" t="s">
        <v>54</v>
      </c>
      <c r="S81" s="101">
        <v>26334770.84</v>
      </c>
      <c r="T81" s="101">
        <v>26334770.84</v>
      </c>
      <c r="U81" s="101">
        <v>6874630.1200000001</v>
      </c>
      <c r="V81" s="101" t="s">
        <v>801</v>
      </c>
      <c r="W81" s="101">
        <v>6874630.1200000001</v>
      </c>
      <c r="X81" s="101" t="s">
        <v>800</v>
      </c>
      <c r="Y81" s="50"/>
      <c r="Z81" s="50"/>
      <c r="AA81" s="28"/>
      <c r="AB81" s="450" t="s">
        <v>647</v>
      </c>
      <c r="AC81" s="400" t="s">
        <v>1087</v>
      </c>
      <c r="AD81" s="400" t="s">
        <v>1532</v>
      </c>
      <c r="AE81" s="408" t="s">
        <v>1086</v>
      </c>
      <c r="AF81" s="28"/>
      <c r="AG81" s="28" t="s">
        <v>1148</v>
      </c>
      <c r="AH81" s="28" t="s">
        <v>1148</v>
      </c>
      <c r="AI81" s="28" t="s">
        <v>1589</v>
      </c>
      <c r="AJ81" s="28" t="s">
        <v>1684</v>
      </c>
      <c r="AK81" s="50" t="s">
        <v>4664</v>
      </c>
      <c r="AL81" s="408" t="s">
        <v>1616</v>
      </c>
      <c r="AM81" s="28" t="s">
        <v>4720</v>
      </c>
      <c r="AN81" s="467" t="s">
        <v>4721</v>
      </c>
      <c r="AT81" s="138">
        <v>1</v>
      </c>
    </row>
    <row r="82" spans="1:46" s="190" customFormat="1" x14ac:dyDescent="0.25">
      <c r="A82" s="398"/>
      <c r="B82" s="8"/>
      <c r="C82" s="8"/>
      <c r="D82" s="8"/>
      <c r="E82" s="8"/>
      <c r="F82" s="191"/>
      <c r="G82" s="8"/>
      <c r="H82" s="38"/>
      <c r="I82" s="15"/>
      <c r="J82" s="6"/>
      <c r="K82" s="65"/>
      <c r="L82" s="259">
        <f>SUM(K81)</f>
        <v>68746301.230000004</v>
      </c>
      <c r="M82" s="259"/>
      <c r="N82" s="8"/>
      <c r="O82" s="8"/>
      <c r="P82" s="6"/>
      <c r="Q82" s="6"/>
      <c r="R82" s="6"/>
      <c r="S82" s="42">
        <f>L82-S81</f>
        <v>42411530.390000001</v>
      </c>
      <c r="T82" s="42"/>
      <c r="U82" s="42">
        <f>T81-S81</f>
        <v>0</v>
      </c>
      <c r="V82" s="42"/>
      <c r="W82" s="42"/>
      <c r="X82" s="42"/>
      <c r="Y82" s="42"/>
      <c r="Z82" s="42"/>
      <c r="AA82" s="42"/>
      <c r="AB82" s="42"/>
      <c r="AC82" s="42"/>
      <c r="AD82" s="42"/>
      <c r="AE82" s="42"/>
      <c r="AF82" s="42"/>
      <c r="AG82" s="189"/>
      <c r="AH82" s="189"/>
      <c r="AI82" s="189"/>
      <c r="AJ82" s="189"/>
      <c r="AK82" s="109"/>
      <c r="AL82" s="189"/>
      <c r="AM82" s="189"/>
      <c r="AN82" s="109"/>
    </row>
    <row r="83" spans="1:46" s="138" customFormat="1" ht="94.5" x14ac:dyDescent="0.25">
      <c r="A83" s="28">
        <v>1</v>
      </c>
      <c r="B83" s="418" t="s">
        <v>101</v>
      </c>
      <c r="C83" s="418" t="s">
        <v>65</v>
      </c>
      <c r="D83" s="419" t="s">
        <v>102</v>
      </c>
      <c r="E83" s="98">
        <v>1000021026</v>
      </c>
      <c r="F83" s="451" t="s">
        <v>664</v>
      </c>
      <c r="G83" s="98">
        <v>8000739613</v>
      </c>
      <c r="H83" s="99">
        <v>45818</v>
      </c>
      <c r="I83" s="100" t="s">
        <v>665</v>
      </c>
      <c r="J83" s="100" t="s">
        <v>368</v>
      </c>
      <c r="K83" s="101">
        <v>91920879.599999994</v>
      </c>
      <c r="L83" s="101"/>
      <c r="M83" s="100" t="s">
        <v>11</v>
      </c>
      <c r="N83" s="100" t="s">
        <v>666</v>
      </c>
      <c r="O83" s="416"/>
      <c r="P83" s="98" t="s">
        <v>667</v>
      </c>
      <c r="Q83" s="98" t="s">
        <v>168</v>
      </c>
      <c r="R83" s="98" t="s">
        <v>668</v>
      </c>
      <c r="S83" s="101">
        <v>0</v>
      </c>
      <c r="T83" s="101">
        <v>0</v>
      </c>
      <c r="U83" s="101">
        <v>0</v>
      </c>
      <c r="V83" s="50"/>
      <c r="W83" s="50"/>
      <c r="X83" s="50"/>
      <c r="Y83" s="50"/>
      <c r="Z83" s="50"/>
      <c r="AA83" s="50"/>
      <c r="AB83" s="57" t="s">
        <v>669</v>
      </c>
      <c r="AC83" s="400" t="s">
        <v>802</v>
      </c>
      <c r="AD83" s="400" t="s">
        <v>1536</v>
      </c>
      <c r="AE83" s="408" t="s">
        <v>797</v>
      </c>
      <c r="AF83" s="28"/>
      <c r="AG83" s="28" t="s">
        <v>1149</v>
      </c>
      <c r="AH83" s="28" t="s">
        <v>4722</v>
      </c>
      <c r="AI83" s="28"/>
      <c r="AJ83" s="28"/>
      <c r="AK83" s="50" t="s">
        <v>4603</v>
      </c>
      <c r="AL83" s="408" t="s">
        <v>1618</v>
      </c>
      <c r="AM83" s="28" t="s">
        <v>4515</v>
      </c>
      <c r="AN83" s="463" t="s">
        <v>4589</v>
      </c>
      <c r="AS83" s="138">
        <v>1</v>
      </c>
    </row>
    <row r="84" spans="1:46" s="138" customFormat="1" ht="94.5" x14ac:dyDescent="0.25">
      <c r="A84" s="28"/>
      <c r="B84" s="418" t="s">
        <v>101</v>
      </c>
      <c r="C84" s="418" t="s">
        <v>65</v>
      </c>
      <c r="D84" s="419" t="s">
        <v>102</v>
      </c>
      <c r="E84" s="98">
        <v>1000021026</v>
      </c>
      <c r="F84" s="451" t="s">
        <v>1466</v>
      </c>
      <c r="G84" s="98">
        <v>9000594236</v>
      </c>
      <c r="H84" s="99">
        <v>46010</v>
      </c>
      <c r="I84" s="100" t="s">
        <v>1467</v>
      </c>
      <c r="J84" s="100" t="s">
        <v>368</v>
      </c>
      <c r="K84" s="101">
        <v>0</v>
      </c>
      <c r="L84" s="101"/>
      <c r="M84" s="100" t="s">
        <v>11</v>
      </c>
      <c r="N84" s="100" t="s">
        <v>1468</v>
      </c>
      <c r="O84" s="416"/>
      <c r="P84" s="98" t="s">
        <v>1469</v>
      </c>
      <c r="Q84" s="98" t="s">
        <v>816</v>
      </c>
      <c r="R84" s="98" t="s">
        <v>1300</v>
      </c>
      <c r="S84" s="101"/>
      <c r="T84" s="101"/>
      <c r="U84" s="101"/>
      <c r="V84" s="50"/>
      <c r="W84" s="50"/>
      <c r="X84" s="50"/>
      <c r="Y84" s="50"/>
      <c r="Z84" s="50"/>
      <c r="AA84" s="50" t="s">
        <v>350</v>
      </c>
      <c r="AB84" s="57" t="s">
        <v>669</v>
      </c>
      <c r="AC84" s="400"/>
      <c r="AD84" s="400"/>
      <c r="AE84" s="408"/>
      <c r="AF84" s="28"/>
      <c r="AG84" s="28"/>
      <c r="AH84" s="28"/>
      <c r="AI84" s="28"/>
      <c r="AJ84" s="28"/>
      <c r="AK84" s="50"/>
      <c r="AL84" s="408"/>
      <c r="AM84" s="28"/>
      <c r="AN84" s="51"/>
    </row>
    <row r="85" spans="1:46" s="190" customFormat="1" x14ac:dyDescent="0.25">
      <c r="A85" s="398"/>
      <c r="B85" s="8"/>
      <c r="C85" s="8"/>
      <c r="D85" s="8"/>
      <c r="E85" s="8"/>
      <c r="F85" s="191"/>
      <c r="G85" s="8"/>
      <c r="H85" s="38"/>
      <c r="I85" s="15"/>
      <c r="J85" s="6"/>
      <c r="K85" s="65"/>
      <c r="L85" s="259">
        <f>K83+L83</f>
        <v>91920879.599999994</v>
      </c>
      <c r="M85" s="259"/>
      <c r="N85" s="8"/>
      <c r="O85" s="8"/>
      <c r="P85" s="6"/>
      <c r="Q85" s="6"/>
      <c r="R85" s="6"/>
      <c r="S85" s="42">
        <f>L85-S83</f>
        <v>91920879.599999994</v>
      </c>
      <c r="T85" s="42"/>
      <c r="U85" s="42"/>
      <c r="V85" s="42"/>
      <c r="W85" s="42"/>
      <c r="X85" s="42"/>
      <c r="Y85" s="42"/>
      <c r="Z85" s="42"/>
      <c r="AA85" s="42"/>
      <c r="AB85" s="42"/>
      <c r="AC85" s="42"/>
      <c r="AD85" s="42"/>
      <c r="AE85" s="42"/>
      <c r="AF85" s="42"/>
      <c r="AG85" s="189"/>
      <c r="AH85" s="189"/>
      <c r="AI85" s="189"/>
      <c r="AJ85" s="189"/>
      <c r="AK85" s="109"/>
      <c r="AL85" s="189"/>
      <c r="AM85" s="189"/>
      <c r="AN85" s="109"/>
    </row>
    <row r="86" spans="1:46" s="138" customFormat="1" ht="165" x14ac:dyDescent="0.25">
      <c r="A86" s="28">
        <v>1</v>
      </c>
      <c r="B86" s="98" t="s">
        <v>874</v>
      </c>
      <c r="C86" s="98" t="s">
        <v>875</v>
      </c>
      <c r="D86" s="98">
        <v>5405048560</v>
      </c>
      <c r="E86" s="98">
        <v>1000148852</v>
      </c>
      <c r="F86" s="108" t="s">
        <v>876</v>
      </c>
      <c r="G86" s="98">
        <v>8000749189</v>
      </c>
      <c r="H86" s="99">
        <v>45861</v>
      </c>
      <c r="I86" s="100" t="s">
        <v>877</v>
      </c>
      <c r="J86" s="100" t="s">
        <v>748</v>
      </c>
      <c r="K86" s="101" t="s">
        <v>878</v>
      </c>
      <c r="L86" s="101"/>
      <c r="M86" s="100" t="s">
        <v>879</v>
      </c>
      <c r="N86" s="100" t="s">
        <v>4723</v>
      </c>
      <c r="O86" s="100"/>
      <c r="P86" s="98" t="s">
        <v>880</v>
      </c>
      <c r="Q86" s="98" t="s">
        <v>881</v>
      </c>
      <c r="R86" s="98" t="s">
        <v>959</v>
      </c>
      <c r="S86" s="101">
        <v>0</v>
      </c>
      <c r="T86" s="101">
        <v>18541568.449999999</v>
      </c>
      <c r="U86" s="101">
        <v>18541568.449999999</v>
      </c>
      <c r="V86" s="50"/>
      <c r="W86" s="50"/>
      <c r="X86" s="50"/>
      <c r="Y86" s="50"/>
      <c r="Z86" s="50"/>
      <c r="AA86" s="28"/>
      <c r="AB86" s="57" t="s">
        <v>882</v>
      </c>
      <c r="AC86" s="400" t="s">
        <v>922</v>
      </c>
      <c r="AD86" s="400" t="s">
        <v>617</v>
      </c>
      <c r="AE86" s="408" t="s">
        <v>797</v>
      </c>
      <c r="AF86" s="28" t="s">
        <v>1042</v>
      </c>
      <c r="AG86" s="28" t="s">
        <v>1149</v>
      </c>
      <c r="AH86" s="50" t="s">
        <v>1149</v>
      </c>
      <c r="AI86" s="50" t="s">
        <v>1594</v>
      </c>
      <c r="AJ86" s="50" t="s">
        <v>4724</v>
      </c>
      <c r="AK86" s="50" t="s">
        <v>4725</v>
      </c>
      <c r="AL86" s="408" t="s">
        <v>1619</v>
      </c>
      <c r="AM86" s="28" t="s">
        <v>4595</v>
      </c>
      <c r="AN86" s="464" t="s">
        <v>4726</v>
      </c>
      <c r="AR86" s="138">
        <v>1</v>
      </c>
    </row>
    <row r="87" spans="1:46" s="190" customFormat="1" x14ac:dyDescent="0.25">
      <c r="A87" s="398"/>
      <c r="B87" s="8"/>
      <c r="C87" s="8"/>
      <c r="D87" s="8"/>
      <c r="E87" s="8"/>
      <c r="F87" s="191"/>
      <c r="G87" s="8"/>
      <c r="H87" s="38"/>
      <c r="I87" s="15"/>
      <c r="J87" s="6"/>
      <c r="K87" s="65"/>
      <c r="L87" s="259" t="s">
        <v>878</v>
      </c>
      <c r="M87" s="259"/>
      <c r="N87" s="8"/>
      <c r="O87" s="8"/>
      <c r="P87" s="6"/>
      <c r="Q87" s="6"/>
      <c r="R87" s="6"/>
      <c r="S87" s="42"/>
      <c r="T87" s="42"/>
      <c r="U87" s="42"/>
      <c r="V87" s="42"/>
      <c r="W87" s="42"/>
      <c r="X87" s="42"/>
      <c r="Y87" s="42"/>
      <c r="Z87" s="42"/>
      <c r="AA87" s="42"/>
      <c r="AB87" s="42"/>
      <c r="AC87" s="42"/>
      <c r="AD87" s="42"/>
      <c r="AE87" s="42"/>
      <c r="AF87" s="42"/>
      <c r="AG87" s="189"/>
      <c r="AH87" s="189"/>
      <c r="AI87" s="189"/>
      <c r="AJ87" s="189"/>
      <c r="AK87" s="109"/>
      <c r="AL87" s="189"/>
      <c r="AM87" s="189"/>
      <c r="AN87" s="109"/>
    </row>
    <row r="88" spans="1:46" s="138" customFormat="1" ht="345" x14ac:dyDescent="0.25">
      <c r="A88" s="28">
        <v>1</v>
      </c>
      <c r="B88" s="98" t="s">
        <v>883</v>
      </c>
      <c r="C88" s="98" t="s">
        <v>884</v>
      </c>
      <c r="D88" s="98">
        <v>266051733</v>
      </c>
      <c r="E88" s="98">
        <v>1000185654</v>
      </c>
      <c r="F88" s="108" t="s">
        <v>885</v>
      </c>
      <c r="G88" s="98">
        <v>8000757158</v>
      </c>
      <c r="H88" s="99">
        <v>45875</v>
      </c>
      <c r="I88" s="100" t="s">
        <v>886</v>
      </c>
      <c r="J88" s="100" t="s">
        <v>887</v>
      </c>
      <c r="K88" s="101">
        <v>230281160.31</v>
      </c>
      <c r="L88" s="101"/>
      <c r="M88" s="100" t="s">
        <v>888</v>
      </c>
      <c r="N88" s="100" t="s">
        <v>889</v>
      </c>
      <c r="O88" s="100"/>
      <c r="P88" s="98" t="s">
        <v>890</v>
      </c>
      <c r="Q88" s="98" t="s">
        <v>881</v>
      </c>
      <c r="R88" s="98" t="s">
        <v>894</v>
      </c>
      <c r="S88" s="101">
        <v>95612758.959999993</v>
      </c>
      <c r="T88" s="101">
        <v>95612758.959999993</v>
      </c>
      <c r="U88" s="101">
        <v>10000000</v>
      </c>
      <c r="V88" s="50"/>
      <c r="W88" s="50"/>
      <c r="X88" s="50"/>
      <c r="Y88" s="50"/>
      <c r="Z88" s="50"/>
      <c r="AA88" s="28"/>
      <c r="AB88" s="28" t="s">
        <v>891</v>
      </c>
      <c r="AC88" s="400" t="s">
        <v>1537</v>
      </c>
      <c r="AD88" s="400" t="s">
        <v>1538</v>
      </c>
      <c r="AE88" s="408" t="s">
        <v>1097</v>
      </c>
      <c r="AF88" s="28" t="s">
        <v>1043</v>
      </c>
      <c r="AG88" s="28" t="s">
        <v>4727</v>
      </c>
      <c r="AH88" s="50" t="s">
        <v>4728</v>
      </c>
      <c r="AI88" s="50" t="s">
        <v>1588</v>
      </c>
      <c r="AJ88" s="50" t="s">
        <v>1687</v>
      </c>
      <c r="AK88" s="50" t="s">
        <v>4665</v>
      </c>
      <c r="AL88" s="408" t="s">
        <v>4521</v>
      </c>
      <c r="AM88" s="28" t="s">
        <v>4522</v>
      </c>
      <c r="AN88" s="462" t="s">
        <v>4642</v>
      </c>
      <c r="AP88" s="138">
        <v>1</v>
      </c>
    </row>
    <row r="89" spans="1:46" s="138" customFormat="1" ht="60" x14ac:dyDescent="0.25">
      <c r="A89" s="28"/>
      <c r="B89" s="98" t="s">
        <v>883</v>
      </c>
      <c r="C89" s="98" t="s">
        <v>884</v>
      </c>
      <c r="D89" s="98">
        <v>266051733</v>
      </c>
      <c r="E89" s="98">
        <v>1000185654</v>
      </c>
      <c r="F89" s="108" t="s">
        <v>4516</v>
      </c>
      <c r="G89" s="98">
        <v>8000757158</v>
      </c>
      <c r="H89" s="99"/>
      <c r="I89" s="104" t="s">
        <v>4517</v>
      </c>
      <c r="J89" s="100" t="s">
        <v>887</v>
      </c>
      <c r="K89" s="101"/>
      <c r="L89" s="101"/>
      <c r="M89" s="100"/>
      <c r="N89" s="100"/>
      <c r="O89" s="100"/>
      <c r="P89" s="98" t="s">
        <v>890</v>
      </c>
      <c r="Q89" s="98" t="s">
        <v>881</v>
      </c>
      <c r="R89" s="98" t="s">
        <v>894</v>
      </c>
      <c r="S89" s="101"/>
      <c r="T89" s="101"/>
      <c r="U89" s="101"/>
      <c r="V89" s="50"/>
      <c r="W89" s="50"/>
      <c r="X89" s="50"/>
      <c r="Y89" s="50"/>
      <c r="Z89" s="50"/>
      <c r="AA89" s="28"/>
      <c r="AB89" s="28"/>
      <c r="AC89" s="400"/>
      <c r="AD89" s="400"/>
      <c r="AE89" s="408"/>
      <c r="AF89" s="28"/>
      <c r="AG89" s="28"/>
      <c r="AH89" s="50"/>
      <c r="AI89" s="50"/>
      <c r="AJ89" s="50"/>
      <c r="AK89" s="50"/>
      <c r="AL89" s="408"/>
      <c r="AM89" s="28"/>
      <c r="AN89" s="50"/>
    </row>
    <row r="90" spans="1:46" s="138" customFormat="1" ht="60" x14ac:dyDescent="0.25">
      <c r="A90" s="28"/>
      <c r="B90" s="98" t="s">
        <v>883</v>
      </c>
      <c r="C90" s="98" t="s">
        <v>884</v>
      </c>
      <c r="D90" s="98">
        <v>266051733</v>
      </c>
      <c r="E90" s="98">
        <v>1000185654</v>
      </c>
      <c r="F90" s="108" t="s">
        <v>4518</v>
      </c>
      <c r="G90" s="98">
        <v>9000600317</v>
      </c>
      <c r="H90" s="99">
        <v>46041</v>
      </c>
      <c r="I90" s="422" t="s">
        <v>4519</v>
      </c>
      <c r="J90" s="100" t="s">
        <v>887</v>
      </c>
      <c r="K90" s="101"/>
      <c r="L90" s="101"/>
      <c r="M90" s="100"/>
      <c r="N90" s="100" t="s">
        <v>4520</v>
      </c>
      <c r="O90" s="100"/>
      <c r="P90" s="98" t="s">
        <v>890</v>
      </c>
      <c r="Q90" s="98" t="s">
        <v>881</v>
      </c>
      <c r="R90" s="98" t="s">
        <v>894</v>
      </c>
      <c r="S90" s="101"/>
      <c r="T90" s="101"/>
      <c r="U90" s="101"/>
      <c r="V90" s="50"/>
      <c r="W90" s="50"/>
      <c r="X90" s="50"/>
      <c r="Y90" s="50"/>
      <c r="Z90" s="50"/>
      <c r="AA90" s="28"/>
      <c r="AB90" s="28"/>
      <c r="AC90" s="400"/>
      <c r="AD90" s="400"/>
      <c r="AE90" s="408"/>
      <c r="AF90" s="28"/>
      <c r="AG90" s="28"/>
      <c r="AH90" s="50"/>
      <c r="AI90" s="50"/>
      <c r="AJ90" s="50"/>
      <c r="AK90" s="50"/>
      <c r="AL90" s="408"/>
      <c r="AM90" s="28"/>
      <c r="AN90" s="50"/>
    </row>
    <row r="91" spans="1:46" s="190" customFormat="1" x14ac:dyDescent="0.25">
      <c r="A91" s="398"/>
      <c r="B91" s="8"/>
      <c r="C91" s="8"/>
      <c r="D91" s="8"/>
      <c r="E91" s="8"/>
      <c r="F91" s="191"/>
      <c r="G91" s="8"/>
      <c r="H91" s="38"/>
      <c r="I91" s="15"/>
      <c r="J91" s="6"/>
      <c r="K91" s="65"/>
      <c r="L91" s="259">
        <f>SUM(K88)</f>
        <v>230281160.31</v>
      </c>
      <c r="M91" s="259"/>
      <c r="N91" s="8"/>
      <c r="O91" s="8"/>
      <c r="P91" s="6"/>
      <c r="Q91" s="6"/>
      <c r="R91" s="6"/>
      <c r="S91" s="42">
        <f>L91-S88</f>
        <v>134668401.35000002</v>
      </c>
      <c r="T91" s="42"/>
      <c r="U91" s="42"/>
      <c r="V91" s="42"/>
      <c r="W91" s="42"/>
      <c r="X91" s="42"/>
      <c r="Y91" s="42"/>
      <c r="Z91" s="42"/>
      <c r="AA91" s="42"/>
      <c r="AB91" s="42"/>
      <c r="AC91" s="42"/>
      <c r="AD91" s="42"/>
      <c r="AE91" s="42"/>
      <c r="AF91" s="42"/>
      <c r="AG91" s="189"/>
      <c r="AH91" s="189"/>
      <c r="AI91" s="189"/>
      <c r="AJ91" s="189"/>
      <c r="AK91" s="109"/>
      <c r="AL91" s="189"/>
      <c r="AM91" s="189"/>
      <c r="AN91" s="109"/>
    </row>
    <row r="92" spans="1:46" s="138" customFormat="1" ht="135" x14ac:dyDescent="0.25">
      <c r="A92" s="28">
        <v>1</v>
      </c>
      <c r="B92" s="98" t="s">
        <v>963</v>
      </c>
      <c r="C92" s="98" t="s">
        <v>964</v>
      </c>
      <c r="D92" s="98">
        <v>2723161148</v>
      </c>
      <c r="E92" s="98">
        <v>1000128349</v>
      </c>
      <c r="F92" s="420" t="s">
        <v>965</v>
      </c>
      <c r="G92" s="98">
        <v>8000725532</v>
      </c>
      <c r="H92" s="99">
        <v>45615</v>
      </c>
      <c r="I92" s="100" t="s">
        <v>968</v>
      </c>
      <c r="J92" s="100"/>
      <c r="K92" s="101">
        <v>19182279</v>
      </c>
      <c r="L92" s="101"/>
      <c r="M92" s="100" t="s">
        <v>971</v>
      </c>
      <c r="N92" s="100" t="s">
        <v>966</v>
      </c>
      <c r="O92" s="100"/>
      <c r="P92" s="98"/>
      <c r="Q92" s="98"/>
      <c r="R92" s="98" t="s">
        <v>993</v>
      </c>
      <c r="S92" s="101">
        <v>15384096.58</v>
      </c>
      <c r="T92" s="101">
        <v>13717602.09</v>
      </c>
      <c r="U92" s="101">
        <v>0</v>
      </c>
      <c r="V92" s="50"/>
      <c r="W92" s="50"/>
      <c r="X92" s="50"/>
      <c r="Y92" s="50"/>
      <c r="Z92" s="50"/>
      <c r="AA92" s="28"/>
      <c r="AB92" s="28"/>
      <c r="AC92" s="400" t="s">
        <v>1024</v>
      </c>
      <c r="AD92" s="400" t="s">
        <v>1539</v>
      </c>
      <c r="AE92" s="408" t="s">
        <v>1025</v>
      </c>
      <c r="AF92" s="28" t="s">
        <v>1048</v>
      </c>
      <c r="AG92" s="28" t="s">
        <v>1143</v>
      </c>
      <c r="AH92" s="50" t="s">
        <v>4729</v>
      </c>
      <c r="AI92" s="50" t="s">
        <v>4730</v>
      </c>
      <c r="AJ92" s="50"/>
      <c r="AK92" s="50" t="s">
        <v>4666</v>
      </c>
      <c r="AL92" s="408" t="s">
        <v>1620</v>
      </c>
      <c r="AM92" s="28" t="s">
        <v>4523</v>
      </c>
      <c r="AN92" s="464" t="s">
        <v>4731</v>
      </c>
      <c r="AR92" s="138">
        <v>1</v>
      </c>
    </row>
    <row r="93" spans="1:46" s="138" customFormat="1" ht="60" x14ac:dyDescent="0.25">
      <c r="A93" s="28"/>
      <c r="B93" s="98" t="s">
        <v>963</v>
      </c>
      <c r="C93" s="98" t="s">
        <v>964</v>
      </c>
      <c r="D93" s="98">
        <v>2723161148</v>
      </c>
      <c r="E93" s="98">
        <v>1000128349</v>
      </c>
      <c r="F93" s="420" t="s">
        <v>967</v>
      </c>
      <c r="G93" s="98"/>
      <c r="H93" s="99"/>
      <c r="I93" s="100" t="s">
        <v>969</v>
      </c>
      <c r="J93" s="100"/>
      <c r="K93" s="101"/>
      <c r="L93" s="101"/>
      <c r="M93" s="100"/>
      <c r="N93" s="100" t="s">
        <v>970</v>
      </c>
      <c r="O93" s="100"/>
      <c r="P93" s="98"/>
      <c r="Q93" s="98"/>
      <c r="R93" s="28" t="s">
        <v>993</v>
      </c>
      <c r="S93" s="28"/>
      <c r="T93" s="28"/>
      <c r="U93" s="28"/>
      <c r="V93" s="50"/>
      <c r="W93" s="50"/>
      <c r="X93" s="50"/>
      <c r="Y93" s="50"/>
      <c r="Z93" s="50"/>
      <c r="AA93" s="28"/>
      <c r="AB93" s="28"/>
      <c r="AC93" s="400"/>
      <c r="AD93" s="400"/>
      <c r="AE93" s="408"/>
      <c r="AF93" s="28"/>
      <c r="AG93" s="28"/>
      <c r="AH93" s="28"/>
      <c r="AI93" s="28"/>
      <c r="AJ93" s="28"/>
      <c r="AK93" s="50"/>
      <c r="AL93" s="408"/>
      <c r="AM93" s="28"/>
      <c r="AN93" s="50"/>
    </row>
    <row r="94" spans="1:46" s="190" customFormat="1" x14ac:dyDescent="0.25">
      <c r="A94" s="398"/>
      <c r="B94" s="8"/>
      <c r="C94" s="8"/>
      <c r="D94" s="8"/>
      <c r="E94" s="8"/>
      <c r="F94" s="191"/>
      <c r="G94" s="8"/>
      <c r="H94" s="38"/>
      <c r="I94" s="15"/>
      <c r="J94" s="6"/>
      <c r="K94" s="65"/>
      <c r="L94" s="259">
        <f>SUM(K92:K94)</f>
        <v>19182279</v>
      </c>
      <c r="M94" s="259"/>
      <c r="N94" s="8"/>
      <c r="O94" s="8"/>
      <c r="P94" s="6"/>
      <c r="Q94" s="6"/>
      <c r="R94" s="6"/>
      <c r="S94" s="42">
        <f>L94-S92</f>
        <v>3798182.42</v>
      </c>
      <c r="T94" s="42"/>
      <c r="U94" s="42"/>
      <c r="V94" s="42"/>
      <c r="W94" s="42"/>
      <c r="X94" s="42"/>
      <c r="Y94" s="42"/>
      <c r="Z94" s="42"/>
      <c r="AA94" s="42"/>
      <c r="AB94" s="42"/>
      <c r="AC94" s="42"/>
      <c r="AD94" s="42"/>
      <c r="AE94" s="42"/>
      <c r="AF94" s="42"/>
      <c r="AG94" s="189"/>
      <c r="AH94" s="189"/>
      <c r="AI94" s="189"/>
      <c r="AJ94" s="189"/>
      <c r="AK94" s="109"/>
      <c r="AL94" s="189"/>
      <c r="AM94" s="189"/>
      <c r="AN94" s="109"/>
    </row>
    <row r="95" spans="1:46" s="2" customFormat="1" ht="195" x14ac:dyDescent="0.25">
      <c r="A95" s="28">
        <v>1</v>
      </c>
      <c r="B95" s="98" t="s">
        <v>985</v>
      </c>
      <c r="C95" s="98" t="s">
        <v>986</v>
      </c>
      <c r="D95" s="98">
        <v>2721109181</v>
      </c>
      <c r="E95" s="98">
        <v>1000066206</v>
      </c>
      <c r="F95" s="420" t="s">
        <v>987</v>
      </c>
      <c r="G95" s="98">
        <v>8000727208</v>
      </c>
      <c r="H95" s="98" t="s">
        <v>988</v>
      </c>
      <c r="I95" s="100" t="s">
        <v>989</v>
      </c>
      <c r="J95" s="100" t="s">
        <v>748</v>
      </c>
      <c r="K95" s="101">
        <v>647544006.39999998</v>
      </c>
      <c r="L95" s="101"/>
      <c r="M95" s="100" t="s">
        <v>990</v>
      </c>
      <c r="N95" s="100" t="s">
        <v>991</v>
      </c>
      <c r="O95" s="100"/>
      <c r="P95" s="98" t="s">
        <v>992</v>
      </c>
      <c r="Q95" s="98" t="s">
        <v>881</v>
      </c>
      <c r="R95" s="98" t="s">
        <v>993</v>
      </c>
      <c r="S95" s="101">
        <v>82481951.409999996</v>
      </c>
      <c r="T95" s="101">
        <v>59258772.539999999</v>
      </c>
      <c r="U95" s="101">
        <v>5000000</v>
      </c>
      <c r="V95" s="50"/>
      <c r="W95" s="50"/>
      <c r="X95" s="50"/>
      <c r="Y95" s="50"/>
      <c r="Z95" s="50"/>
      <c r="AA95" s="28"/>
      <c r="AB95" s="57" t="s">
        <v>994</v>
      </c>
      <c r="AC95" s="400" t="s">
        <v>1023</v>
      </c>
      <c r="AD95" s="400" t="s">
        <v>1022</v>
      </c>
      <c r="AE95" s="408" t="s">
        <v>1100</v>
      </c>
      <c r="AF95" s="28"/>
      <c r="AG95" s="28" t="s">
        <v>1144</v>
      </c>
      <c r="AH95" s="50" t="s">
        <v>1389</v>
      </c>
      <c r="AI95" s="50" t="s">
        <v>1389</v>
      </c>
      <c r="AJ95" s="50" t="s">
        <v>1689</v>
      </c>
      <c r="AK95" s="50" t="s">
        <v>4611</v>
      </c>
      <c r="AL95" s="408" t="s">
        <v>1621</v>
      </c>
      <c r="AM95" s="28" t="s">
        <v>4732</v>
      </c>
      <c r="AN95" s="467" t="s">
        <v>4652</v>
      </c>
      <c r="AT95" s="2">
        <v>1</v>
      </c>
    </row>
    <row r="96" spans="1:46" s="190" customFormat="1" x14ac:dyDescent="0.25">
      <c r="A96" s="398"/>
      <c r="B96" s="8"/>
      <c r="C96" s="8"/>
      <c r="D96" s="8"/>
      <c r="E96" s="8"/>
      <c r="F96" s="191"/>
      <c r="G96" s="8"/>
      <c r="H96" s="38"/>
      <c r="I96" s="15"/>
      <c r="J96" s="6"/>
      <c r="K96" s="65"/>
      <c r="L96" s="259">
        <f>SUM(K95:K96)</f>
        <v>647544006.39999998</v>
      </c>
      <c r="M96" s="259"/>
      <c r="N96" s="8"/>
      <c r="O96" s="8"/>
      <c r="P96" s="6"/>
      <c r="Q96" s="6"/>
      <c r="R96" s="6"/>
      <c r="S96" s="42">
        <f>L96-S95</f>
        <v>565062054.99000001</v>
      </c>
      <c r="T96" s="42"/>
      <c r="U96" s="42"/>
      <c r="V96" s="42"/>
      <c r="W96" s="42"/>
      <c r="X96" s="42"/>
      <c r="Y96" s="42"/>
      <c r="Z96" s="42"/>
      <c r="AA96" s="42"/>
      <c r="AB96" s="42"/>
      <c r="AC96" s="42"/>
      <c r="AD96" s="42"/>
      <c r="AE96" s="42"/>
      <c r="AF96" s="42"/>
      <c r="AG96" s="189"/>
      <c r="AH96" s="189"/>
      <c r="AI96" s="189"/>
      <c r="AJ96" s="189"/>
      <c r="AK96" s="109"/>
      <c r="AL96" s="189"/>
      <c r="AM96" s="189"/>
      <c r="AN96" s="109"/>
    </row>
    <row r="97" spans="1:46" s="2" customFormat="1" ht="150" x14ac:dyDescent="0.25">
      <c r="A97" s="28">
        <v>1</v>
      </c>
      <c r="B97" s="98" t="s">
        <v>196</v>
      </c>
      <c r="C97" s="98" t="s">
        <v>296</v>
      </c>
      <c r="D97" s="98">
        <v>7726685798</v>
      </c>
      <c r="E97" s="98">
        <v>1000100506</v>
      </c>
      <c r="F97" s="420" t="s">
        <v>995</v>
      </c>
      <c r="G97" s="98">
        <v>8000765293</v>
      </c>
      <c r="H97" s="99">
        <v>45908</v>
      </c>
      <c r="I97" s="100" t="s">
        <v>996</v>
      </c>
      <c r="J97" s="100" t="s">
        <v>748</v>
      </c>
      <c r="K97" s="101">
        <v>20710790.030000001</v>
      </c>
      <c r="L97" s="101"/>
      <c r="M97" s="100" t="s">
        <v>11</v>
      </c>
      <c r="N97" s="100" t="s">
        <v>997</v>
      </c>
      <c r="O97" s="100"/>
      <c r="P97" s="98" t="s">
        <v>998</v>
      </c>
      <c r="Q97" s="98" t="s">
        <v>13</v>
      </c>
      <c r="R97" s="98" t="s">
        <v>894</v>
      </c>
      <c r="S97" s="101">
        <v>0</v>
      </c>
      <c r="T97" s="101">
        <v>0</v>
      </c>
      <c r="U97" s="101">
        <v>0</v>
      </c>
      <c r="V97" s="50"/>
      <c r="W97" s="50"/>
      <c r="X97" s="50"/>
      <c r="Y97" s="50"/>
      <c r="Z97" s="50"/>
      <c r="AA97" s="28"/>
      <c r="AB97" s="57" t="s">
        <v>262</v>
      </c>
      <c r="AC97" s="400" t="s">
        <v>1021</v>
      </c>
      <c r="AD97" s="400" t="s">
        <v>1539</v>
      </c>
      <c r="AE97" s="408" t="s">
        <v>1099</v>
      </c>
      <c r="AF97" s="28"/>
      <c r="AG97" s="28" t="s">
        <v>4733</v>
      </c>
      <c r="AH97" s="28" t="s">
        <v>4733</v>
      </c>
      <c r="AI97" s="28" t="s">
        <v>1586</v>
      </c>
      <c r="AJ97" s="28" t="s">
        <v>1690</v>
      </c>
      <c r="AK97" s="50" t="s">
        <v>4466</v>
      </c>
      <c r="AL97" s="408" t="s">
        <v>1622</v>
      </c>
      <c r="AM97" s="28" t="s">
        <v>4524</v>
      </c>
      <c r="AN97" s="401" t="s">
        <v>4692</v>
      </c>
      <c r="AQ97" s="2">
        <v>1</v>
      </c>
    </row>
    <row r="98" spans="1:46" s="190" customFormat="1" x14ac:dyDescent="0.25">
      <c r="A98" s="398"/>
      <c r="B98" s="8"/>
      <c r="C98" s="8"/>
      <c r="D98" s="8"/>
      <c r="E98" s="8"/>
      <c r="F98" s="191"/>
      <c r="G98" s="8"/>
      <c r="H98" s="38"/>
      <c r="I98" s="15"/>
      <c r="J98" s="6"/>
      <c r="K98" s="65"/>
      <c r="L98" s="259">
        <f>K97+K98</f>
        <v>20710790.030000001</v>
      </c>
      <c r="M98" s="259"/>
      <c r="N98" s="8"/>
      <c r="O98" s="8"/>
      <c r="P98" s="6"/>
      <c r="Q98" s="6"/>
      <c r="R98" s="6"/>
      <c r="S98" s="42">
        <f>L98-S97</f>
        <v>20710790.030000001</v>
      </c>
      <c r="T98" s="42"/>
      <c r="U98" s="42"/>
      <c r="V98" s="42"/>
      <c r="W98" s="42"/>
      <c r="X98" s="42"/>
      <c r="Y98" s="42"/>
      <c r="Z98" s="42"/>
      <c r="AA98" s="42"/>
      <c r="AB98" s="42"/>
      <c r="AC98" s="42"/>
      <c r="AD98" s="42"/>
      <c r="AE98" s="42"/>
      <c r="AF98" s="42"/>
      <c r="AG98" s="189"/>
      <c r="AH98" s="189"/>
      <c r="AI98" s="189"/>
      <c r="AJ98" s="189"/>
      <c r="AK98" s="109"/>
      <c r="AL98" s="189"/>
      <c r="AM98" s="189"/>
      <c r="AN98" s="109"/>
    </row>
    <row r="99" spans="1:46" s="2" customFormat="1" ht="255" x14ac:dyDescent="0.25">
      <c r="A99" s="28">
        <v>1</v>
      </c>
      <c r="B99" s="98" t="s">
        <v>14</v>
      </c>
      <c r="C99" s="98" t="s">
        <v>31</v>
      </c>
      <c r="D99" s="98">
        <v>2723161148</v>
      </c>
      <c r="E99" s="98">
        <v>1000128349</v>
      </c>
      <c r="F99" s="420" t="s">
        <v>1004</v>
      </c>
      <c r="G99" s="98">
        <v>8000760265</v>
      </c>
      <c r="H99" s="98" t="s">
        <v>1005</v>
      </c>
      <c r="I99" s="100" t="s">
        <v>1006</v>
      </c>
      <c r="J99" s="100" t="s">
        <v>748</v>
      </c>
      <c r="K99" s="101">
        <v>45692186.890000001</v>
      </c>
      <c r="L99" s="101"/>
      <c r="M99" s="100" t="s">
        <v>1007</v>
      </c>
      <c r="N99" s="416" t="s">
        <v>1008</v>
      </c>
      <c r="O99" s="100"/>
      <c r="P99" s="98" t="s">
        <v>1009</v>
      </c>
      <c r="Q99" s="98" t="s">
        <v>881</v>
      </c>
      <c r="R99" s="98" t="s">
        <v>993</v>
      </c>
      <c r="S99" s="101">
        <v>0</v>
      </c>
      <c r="T99" s="101">
        <v>3000000</v>
      </c>
      <c r="U99" s="101">
        <v>3000000</v>
      </c>
      <c r="V99" s="50"/>
      <c r="W99" s="50"/>
      <c r="X99" s="50"/>
      <c r="Y99" s="50"/>
      <c r="Z99" s="50"/>
      <c r="AA99" s="28"/>
      <c r="AB99" s="57" t="s">
        <v>206</v>
      </c>
      <c r="AC99" s="400" t="s">
        <v>1105</v>
      </c>
      <c r="AD99" s="400" t="s">
        <v>1008</v>
      </c>
      <c r="AE99" s="408" t="s">
        <v>1104</v>
      </c>
      <c r="AF99" s="28"/>
      <c r="AG99" s="28" t="s">
        <v>1146</v>
      </c>
      <c r="AH99" s="50" t="s">
        <v>4734</v>
      </c>
      <c r="AI99" s="50" t="s">
        <v>1585</v>
      </c>
      <c r="AJ99" s="50" t="s">
        <v>1691</v>
      </c>
      <c r="AK99" s="50" t="s">
        <v>4612</v>
      </c>
      <c r="AL99" s="408" t="s">
        <v>1623</v>
      </c>
      <c r="AM99" s="28" t="s">
        <v>4735</v>
      </c>
      <c r="AN99" s="467" t="s">
        <v>4736</v>
      </c>
      <c r="AT99" s="2">
        <v>1</v>
      </c>
    </row>
    <row r="100" spans="1:46" s="190" customFormat="1" x14ac:dyDescent="0.25">
      <c r="A100" s="398"/>
      <c r="B100" s="8"/>
      <c r="C100" s="8"/>
      <c r="D100" s="8"/>
      <c r="E100" s="8"/>
      <c r="F100" s="191"/>
      <c r="G100" s="8"/>
      <c r="H100" s="38"/>
      <c r="I100" s="15"/>
      <c r="J100" s="6"/>
      <c r="K100" s="65"/>
      <c r="L100" s="259">
        <f>SUM(K99:K100)</f>
        <v>45692186.890000001</v>
      </c>
      <c r="M100" s="259"/>
      <c r="N100" s="8"/>
      <c r="O100" s="8"/>
      <c r="P100" s="6"/>
      <c r="Q100" s="6"/>
      <c r="R100" s="6"/>
      <c r="S100" s="42">
        <f>L100-S99</f>
        <v>45692186.890000001</v>
      </c>
      <c r="T100" s="42"/>
      <c r="U100" s="42"/>
      <c r="V100" s="42"/>
      <c r="W100" s="42"/>
      <c r="X100" s="42"/>
      <c r="Y100" s="42"/>
      <c r="Z100" s="42"/>
      <c r="AA100" s="42"/>
      <c r="AB100" s="42"/>
      <c r="AC100" s="42"/>
      <c r="AD100" s="42"/>
      <c r="AE100" s="42"/>
      <c r="AF100" s="42"/>
      <c r="AG100" s="189"/>
      <c r="AH100" s="189"/>
      <c r="AI100" s="189"/>
      <c r="AJ100" s="189"/>
      <c r="AK100" s="109"/>
      <c r="AL100" s="189"/>
      <c r="AM100" s="189"/>
      <c r="AN100" s="109"/>
    </row>
    <row r="101" spans="1:46" s="2" customFormat="1" ht="75" x14ac:dyDescent="0.25">
      <c r="A101" s="28">
        <v>1</v>
      </c>
      <c r="B101" s="98" t="s">
        <v>131</v>
      </c>
      <c r="C101" s="98" t="s">
        <v>463</v>
      </c>
      <c r="D101" s="98">
        <v>5042120323</v>
      </c>
      <c r="E101" s="98">
        <v>1000101535</v>
      </c>
      <c r="F101" s="420" t="s">
        <v>1169</v>
      </c>
      <c r="G101" s="98">
        <v>8000768299</v>
      </c>
      <c r="H101" s="99">
        <v>45917</v>
      </c>
      <c r="I101" s="100" t="s">
        <v>1170</v>
      </c>
      <c r="J101" s="100" t="s">
        <v>1171</v>
      </c>
      <c r="K101" s="101">
        <v>49523079.210000001</v>
      </c>
      <c r="L101" s="101"/>
      <c r="M101" s="100" t="s">
        <v>11</v>
      </c>
      <c r="N101" s="100" t="s">
        <v>1172</v>
      </c>
      <c r="O101" s="100"/>
      <c r="P101" s="98" t="s">
        <v>1173</v>
      </c>
      <c r="Q101" s="98" t="s">
        <v>168</v>
      </c>
      <c r="R101" s="98" t="s">
        <v>873</v>
      </c>
      <c r="S101" s="101">
        <v>47815944.82</v>
      </c>
      <c r="T101" s="101">
        <v>47815944.82</v>
      </c>
      <c r="U101" s="101">
        <v>0</v>
      </c>
      <c r="V101" s="50"/>
      <c r="W101" s="50"/>
      <c r="X101" s="50"/>
      <c r="Y101" s="50"/>
      <c r="Z101" s="50"/>
      <c r="AA101" s="28"/>
      <c r="AB101" s="57" t="s">
        <v>237</v>
      </c>
      <c r="AC101" s="100"/>
      <c r="AD101" s="400" t="s">
        <v>1172</v>
      </c>
      <c r="AE101" s="408" t="s">
        <v>1329</v>
      </c>
      <c r="AF101" s="28"/>
      <c r="AG101" s="28"/>
      <c r="AH101" s="50" t="s">
        <v>1390</v>
      </c>
      <c r="AI101" s="50" t="s">
        <v>1573</v>
      </c>
      <c r="AJ101" s="50" t="s">
        <v>602</v>
      </c>
      <c r="AK101" s="50" t="s">
        <v>4667</v>
      </c>
      <c r="AL101" s="408" t="s">
        <v>1630</v>
      </c>
      <c r="AM101" s="28" t="s">
        <v>4526</v>
      </c>
      <c r="AN101" s="462" t="s">
        <v>4642</v>
      </c>
      <c r="AP101" s="2">
        <v>1</v>
      </c>
    </row>
    <row r="102" spans="1:46" s="190" customFormat="1" x14ac:dyDescent="0.25">
      <c r="A102" s="398"/>
      <c r="B102" s="8"/>
      <c r="C102" s="8"/>
      <c r="D102" s="8"/>
      <c r="E102" s="8"/>
      <c r="F102" s="191"/>
      <c r="G102" s="8"/>
      <c r="H102" s="38"/>
      <c r="I102" s="15"/>
      <c r="J102" s="6"/>
      <c r="K102" s="65"/>
      <c r="L102" s="259">
        <f>K101+L101</f>
        <v>49523079.210000001</v>
      </c>
      <c r="M102" s="259"/>
      <c r="N102" s="8"/>
      <c r="O102" s="8"/>
      <c r="P102" s="6"/>
      <c r="Q102" s="6"/>
      <c r="R102" s="6"/>
      <c r="S102" s="42">
        <f>L102-S101</f>
        <v>1707134.3900000006</v>
      </c>
      <c r="T102" s="42"/>
      <c r="U102" s="42"/>
      <c r="V102" s="42"/>
      <c r="W102" s="42"/>
      <c r="X102" s="42"/>
      <c r="Y102" s="42"/>
      <c r="Z102" s="42"/>
      <c r="AA102" s="42"/>
      <c r="AB102" s="42"/>
      <c r="AC102" s="42"/>
      <c r="AD102" s="42"/>
      <c r="AE102" s="42"/>
      <c r="AF102" s="42"/>
      <c r="AG102" s="189"/>
      <c r="AH102" s="189"/>
      <c r="AI102" s="189"/>
      <c r="AJ102" s="189"/>
      <c r="AK102" s="109"/>
      <c r="AL102" s="189"/>
      <c r="AM102" s="189"/>
      <c r="AN102" s="109"/>
    </row>
    <row r="103" spans="1:46" s="2" customFormat="1" ht="90" x14ac:dyDescent="0.25">
      <c r="A103" s="28">
        <v>1</v>
      </c>
      <c r="B103" s="98" t="s">
        <v>323</v>
      </c>
      <c r="C103" s="98" t="s">
        <v>1174</v>
      </c>
      <c r="D103" s="98">
        <v>2703097800</v>
      </c>
      <c r="E103" s="98">
        <v>1000105103</v>
      </c>
      <c r="F103" s="420" t="s">
        <v>1175</v>
      </c>
      <c r="G103" s="98">
        <v>8000766668</v>
      </c>
      <c r="H103" s="99">
        <v>45903</v>
      </c>
      <c r="I103" s="100" t="s">
        <v>1176</v>
      </c>
      <c r="J103" s="100"/>
      <c r="K103" s="101">
        <v>35992725.350000001</v>
      </c>
      <c r="L103" s="101"/>
      <c r="M103" s="100" t="s">
        <v>11</v>
      </c>
      <c r="N103" s="100" t="s">
        <v>1177</v>
      </c>
      <c r="O103" s="100"/>
      <c r="P103" s="98" t="s">
        <v>1178</v>
      </c>
      <c r="Q103" s="98" t="s">
        <v>816</v>
      </c>
      <c r="R103" s="98" t="s">
        <v>873</v>
      </c>
      <c r="S103" s="101">
        <v>6781802.3399999999</v>
      </c>
      <c r="T103" s="101">
        <v>6781802.3399999999</v>
      </c>
      <c r="U103" s="101">
        <v>0</v>
      </c>
      <c r="V103" s="50"/>
      <c r="W103" s="50"/>
      <c r="X103" s="50"/>
      <c r="Y103" s="50"/>
      <c r="Z103" s="50"/>
      <c r="AA103" s="28"/>
      <c r="AB103" s="57" t="s">
        <v>1179</v>
      </c>
      <c r="AC103" s="28"/>
      <c r="AD103" s="400" t="s">
        <v>1177</v>
      </c>
      <c r="AE103" s="408" t="s">
        <v>1329</v>
      </c>
      <c r="AF103" s="28"/>
      <c r="AG103" s="28"/>
      <c r="AH103" s="50" t="s">
        <v>1390</v>
      </c>
      <c r="AI103" s="50"/>
      <c r="AJ103" s="50" t="s">
        <v>1692</v>
      </c>
      <c r="AK103" s="50" t="s">
        <v>4668</v>
      </c>
      <c r="AL103" s="408" t="s">
        <v>1542</v>
      </c>
      <c r="AM103" s="28" t="s">
        <v>4525</v>
      </c>
      <c r="AN103" s="462" t="s">
        <v>4642</v>
      </c>
      <c r="AP103" s="2">
        <v>1</v>
      </c>
    </row>
    <row r="104" spans="1:46" s="190" customFormat="1" x14ac:dyDescent="0.25">
      <c r="A104" s="398"/>
      <c r="B104" s="8"/>
      <c r="C104" s="8"/>
      <c r="D104" s="8"/>
      <c r="E104" s="8"/>
      <c r="F104" s="191"/>
      <c r="G104" s="8"/>
      <c r="H104" s="38"/>
      <c r="I104" s="15"/>
      <c r="J104" s="6"/>
      <c r="K104" s="65"/>
      <c r="L104" s="259">
        <f>SUM(K103:K104)</f>
        <v>35992725.350000001</v>
      </c>
      <c r="M104" s="259"/>
      <c r="N104" s="8"/>
      <c r="O104" s="8"/>
      <c r="P104" s="6"/>
      <c r="Q104" s="6"/>
      <c r="R104" s="6"/>
      <c r="S104" s="42">
        <f>L104-S103</f>
        <v>29210923.010000002</v>
      </c>
      <c r="T104" s="42"/>
      <c r="U104" s="42"/>
      <c r="V104" s="42"/>
      <c r="W104" s="42"/>
      <c r="X104" s="42"/>
      <c r="Y104" s="42"/>
      <c r="Z104" s="42"/>
      <c r="AA104" s="42"/>
      <c r="AB104" s="42"/>
      <c r="AC104" s="42"/>
      <c r="AD104" s="42"/>
      <c r="AE104" s="42"/>
      <c r="AF104" s="42"/>
      <c r="AG104" s="189"/>
      <c r="AH104" s="189"/>
      <c r="AI104" s="189"/>
      <c r="AJ104" s="189"/>
      <c r="AK104" s="109"/>
      <c r="AL104" s="189"/>
      <c r="AM104" s="189"/>
      <c r="AN104" s="109"/>
    </row>
    <row r="105" spans="1:46" s="2" customFormat="1" ht="76.5" customHeight="1" x14ac:dyDescent="0.25">
      <c r="A105" s="28">
        <v>1</v>
      </c>
      <c r="B105" s="98" t="s">
        <v>1180</v>
      </c>
      <c r="C105" s="98" t="s">
        <v>1181</v>
      </c>
      <c r="D105" s="98">
        <v>9909470634</v>
      </c>
      <c r="E105" s="98">
        <v>1000096359</v>
      </c>
      <c r="F105" s="420" t="s">
        <v>1182</v>
      </c>
      <c r="G105" s="98">
        <v>8000764399</v>
      </c>
      <c r="H105" s="99">
        <v>45931</v>
      </c>
      <c r="I105" s="100" t="s">
        <v>1183</v>
      </c>
      <c r="J105" s="100" t="s">
        <v>263</v>
      </c>
      <c r="K105" s="101">
        <v>3252000</v>
      </c>
      <c r="L105" s="101"/>
      <c r="M105" s="100" t="s">
        <v>1184</v>
      </c>
      <c r="N105" s="100" t="s">
        <v>1185</v>
      </c>
      <c r="O105" s="100"/>
      <c r="P105" s="98" t="s">
        <v>1186</v>
      </c>
      <c r="Q105" s="98" t="s">
        <v>13</v>
      </c>
      <c r="R105" s="98" t="s">
        <v>1187</v>
      </c>
      <c r="S105" s="101">
        <v>1626000</v>
      </c>
      <c r="T105" s="101">
        <v>1626000</v>
      </c>
      <c r="U105" s="101">
        <v>1626000</v>
      </c>
      <c r="V105" s="50"/>
      <c r="W105" s="50"/>
      <c r="X105" s="50"/>
      <c r="Y105" s="50"/>
      <c r="Z105" s="50"/>
      <c r="AA105" s="28"/>
      <c r="AB105" s="57" t="s">
        <v>1188</v>
      </c>
      <c r="AC105" s="28"/>
      <c r="AD105" s="400" t="s">
        <v>1185</v>
      </c>
      <c r="AE105" s="408" t="s">
        <v>1335</v>
      </c>
      <c r="AF105" s="28"/>
      <c r="AG105" s="28"/>
      <c r="AH105" s="50" t="s">
        <v>1391</v>
      </c>
      <c r="AI105" s="50" t="s">
        <v>1584</v>
      </c>
      <c r="AJ105" s="50" t="s">
        <v>1693</v>
      </c>
      <c r="AK105" s="50" t="s">
        <v>4669</v>
      </c>
      <c r="AL105" s="408" t="s">
        <v>1543</v>
      </c>
      <c r="AM105" s="28" t="s">
        <v>4737</v>
      </c>
      <c r="AN105" s="462" t="s">
        <v>4642</v>
      </c>
      <c r="AP105" s="2">
        <v>1</v>
      </c>
    </row>
    <row r="106" spans="1:46" s="190" customFormat="1" x14ac:dyDescent="0.25">
      <c r="A106" s="398"/>
      <c r="B106" s="8"/>
      <c r="C106" s="8"/>
      <c r="D106" s="8"/>
      <c r="E106" s="8"/>
      <c r="F106" s="191"/>
      <c r="G106" s="8"/>
      <c r="H106" s="38"/>
      <c r="I106" s="15"/>
      <c r="J106" s="6"/>
      <c r="K106" s="65"/>
      <c r="L106" s="259">
        <f>K105+K106</f>
        <v>3252000</v>
      </c>
      <c r="M106" s="259"/>
      <c r="N106" s="8"/>
      <c r="O106" s="8"/>
      <c r="P106" s="6"/>
      <c r="Q106" s="6"/>
      <c r="R106" s="6"/>
      <c r="S106" s="42">
        <f>L106-S105</f>
        <v>1626000</v>
      </c>
      <c r="T106" s="42"/>
      <c r="U106" s="42"/>
      <c r="V106" s="42"/>
      <c r="W106" s="42"/>
      <c r="X106" s="42"/>
      <c r="Y106" s="42"/>
      <c r="Z106" s="42"/>
      <c r="AA106" s="42"/>
      <c r="AB106" s="42"/>
      <c r="AC106" s="42"/>
      <c r="AD106" s="42"/>
      <c r="AE106" s="42"/>
      <c r="AF106" s="42"/>
      <c r="AG106" s="189"/>
      <c r="AH106" s="189"/>
      <c r="AI106" s="189"/>
      <c r="AJ106" s="189"/>
      <c r="AK106" s="109"/>
      <c r="AL106" s="189"/>
      <c r="AM106" s="189"/>
      <c r="AN106" s="109"/>
    </row>
    <row r="107" spans="1:46" s="2" customFormat="1" ht="99" customHeight="1" x14ac:dyDescent="0.25">
      <c r="A107" s="28">
        <v>1</v>
      </c>
      <c r="B107" s="98" t="s">
        <v>1194</v>
      </c>
      <c r="C107" s="98" t="s">
        <v>1195</v>
      </c>
      <c r="D107" s="98" t="s">
        <v>1196</v>
      </c>
      <c r="E107" s="98">
        <v>1000047411</v>
      </c>
      <c r="F107" s="420" t="s">
        <v>1197</v>
      </c>
      <c r="G107" s="98">
        <v>8000768553</v>
      </c>
      <c r="H107" s="99">
        <v>45938</v>
      </c>
      <c r="I107" s="100" t="s">
        <v>573</v>
      </c>
      <c r="J107" s="100" t="s">
        <v>357</v>
      </c>
      <c r="K107" s="101">
        <v>156479873.81999999</v>
      </c>
      <c r="L107" s="101"/>
      <c r="M107" s="100" t="s">
        <v>1198</v>
      </c>
      <c r="N107" s="416" t="s">
        <v>1199</v>
      </c>
      <c r="O107" s="100"/>
      <c r="P107" s="98" t="s">
        <v>1200</v>
      </c>
      <c r="Q107" s="98" t="s">
        <v>168</v>
      </c>
      <c r="R107" s="98" t="s">
        <v>873</v>
      </c>
      <c r="S107" s="101">
        <v>27379101.59</v>
      </c>
      <c r="T107" s="101">
        <v>27379101.59</v>
      </c>
      <c r="U107" s="101">
        <v>5000000</v>
      </c>
      <c r="V107" s="50"/>
      <c r="W107" s="50"/>
      <c r="X107" s="50"/>
      <c r="Y107" s="50"/>
      <c r="Z107" s="50"/>
      <c r="AA107" s="28"/>
      <c r="AB107" s="57" t="s">
        <v>1201</v>
      </c>
      <c r="AC107" s="28"/>
      <c r="AD107" s="400" t="s">
        <v>1199</v>
      </c>
      <c r="AE107" s="408" t="s">
        <v>1333</v>
      </c>
      <c r="AF107" s="28"/>
      <c r="AG107" s="28"/>
      <c r="AH107" s="50" t="s">
        <v>1392</v>
      </c>
      <c r="AI107" s="50" t="s">
        <v>1572</v>
      </c>
      <c r="AJ107" s="50" t="s">
        <v>1674</v>
      </c>
      <c r="AK107" s="50" t="s">
        <v>4670</v>
      </c>
      <c r="AL107" s="408" t="s">
        <v>1629</v>
      </c>
      <c r="AM107" s="28" t="s">
        <v>4527</v>
      </c>
      <c r="AN107" s="462" t="s">
        <v>4642</v>
      </c>
      <c r="AP107" s="2">
        <v>1</v>
      </c>
    </row>
    <row r="108" spans="1:46" s="190" customFormat="1" x14ac:dyDescent="0.25">
      <c r="A108" s="398"/>
      <c r="B108" s="8"/>
      <c r="C108" s="8"/>
      <c r="D108" s="8"/>
      <c r="E108" s="8"/>
      <c r="F108" s="191"/>
      <c r="G108" s="8"/>
      <c r="H108" s="38"/>
      <c r="I108" s="15"/>
      <c r="J108" s="6"/>
      <c r="K108" s="65"/>
      <c r="L108" s="259">
        <f>K107+L107</f>
        <v>156479873.81999999</v>
      </c>
      <c r="M108" s="259"/>
      <c r="N108" s="8"/>
      <c r="O108" s="8"/>
      <c r="P108" s="6"/>
      <c r="Q108" s="6"/>
      <c r="R108" s="6"/>
      <c r="S108" s="42">
        <f>L108-S107</f>
        <v>129100772.22999999</v>
      </c>
      <c r="T108" s="42"/>
      <c r="U108" s="42"/>
      <c r="V108" s="42"/>
      <c r="W108" s="42"/>
      <c r="X108" s="42"/>
      <c r="Y108" s="42"/>
      <c r="Z108" s="42"/>
      <c r="AA108" s="42"/>
      <c r="AB108" s="42"/>
      <c r="AC108" s="42"/>
      <c r="AD108" s="42"/>
      <c r="AE108" s="42"/>
      <c r="AF108" s="42"/>
      <c r="AG108" s="189"/>
      <c r="AH108" s="189"/>
      <c r="AI108" s="189"/>
      <c r="AJ108" s="189"/>
      <c r="AK108" s="109"/>
      <c r="AL108" s="189"/>
      <c r="AM108" s="189"/>
      <c r="AN108" s="109"/>
    </row>
    <row r="109" spans="1:46" s="2" customFormat="1" ht="105" x14ac:dyDescent="0.25">
      <c r="A109" s="28">
        <v>1</v>
      </c>
      <c r="B109" s="98" t="s">
        <v>344</v>
      </c>
      <c r="C109" s="98" t="s">
        <v>343</v>
      </c>
      <c r="D109" s="98">
        <v>5505062400</v>
      </c>
      <c r="E109" s="98">
        <v>1000167975</v>
      </c>
      <c r="F109" s="420" t="s">
        <v>1202</v>
      </c>
      <c r="G109" s="98">
        <v>8000768537</v>
      </c>
      <c r="H109" s="99">
        <v>45939</v>
      </c>
      <c r="I109" s="100" t="s">
        <v>4465</v>
      </c>
      <c r="J109" s="100" t="s">
        <v>192</v>
      </c>
      <c r="K109" s="101">
        <v>71400000</v>
      </c>
      <c r="L109" s="101"/>
      <c r="M109" s="100" t="s">
        <v>1203</v>
      </c>
      <c r="N109" s="100" t="s">
        <v>1204</v>
      </c>
      <c r="O109" s="100"/>
      <c r="P109" s="98" t="s">
        <v>1205</v>
      </c>
      <c r="Q109" s="98" t="s">
        <v>168</v>
      </c>
      <c r="R109" s="98" t="s">
        <v>1206</v>
      </c>
      <c r="S109" s="101">
        <v>0</v>
      </c>
      <c r="T109" s="101">
        <v>3000000</v>
      </c>
      <c r="U109" s="101">
        <v>3000000</v>
      </c>
      <c r="V109" s="50"/>
      <c r="W109" s="50"/>
      <c r="X109" s="50"/>
      <c r="Y109" s="50"/>
      <c r="Z109" s="50"/>
      <c r="AA109" s="28"/>
      <c r="AB109" s="57" t="s">
        <v>289</v>
      </c>
      <c r="AC109" s="28"/>
      <c r="AD109" s="400" t="s">
        <v>1204</v>
      </c>
      <c r="AE109" s="408" t="s">
        <v>1332</v>
      </c>
      <c r="AF109" s="28"/>
      <c r="AG109" s="28"/>
      <c r="AH109" s="50" t="s">
        <v>1393</v>
      </c>
      <c r="AI109" s="50" t="s">
        <v>1393</v>
      </c>
      <c r="AJ109" s="50" t="s">
        <v>1673</v>
      </c>
      <c r="AK109" s="50" t="s">
        <v>4613</v>
      </c>
      <c r="AL109" s="408" t="s">
        <v>1332</v>
      </c>
      <c r="AM109" s="28" t="s">
        <v>4596</v>
      </c>
      <c r="AN109" s="401" t="s">
        <v>4692</v>
      </c>
      <c r="AQ109" s="2">
        <v>1</v>
      </c>
    </row>
    <row r="110" spans="1:46" s="190" customFormat="1" x14ac:dyDescent="0.25">
      <c r="A110" s="398"/>
      <c r="B110" s="8"/>
      <c r="C110" s="8"/>
      <c r="D110" s="8"/>
      <c r="E110" s="8"/>
      <c r="F110" s="191"/>
      <c r="G110" s="8"/>
      <c r="H110" s="38"/>
      <c r="I110" s="15"/>
      <c r="J110" s="6"/>
      <c r="K110" s="65"/>
      <c r="L110" s="259">
        <f>K109+L109</f>
        <v>71400000</v>
      </c>
      <c r="M110" s="259"/>
      <c r="N110" s="8"/>
      <c r="O110" s="8"/>
      <c r="P110" s="6"/>
      <c r="Q110" s="6"/>
      <c r="R110" s="6"/>
      <c r="S110" s="42">
        <f>L110-S109</f>
        <v>71400000</v>
      </c>
      <c r="T110" s="42"/>
      <c r="U110" s="42"/>
      <c r="V110" s="42"/>
      <c r="W110" s="42"/>
      <c r="X110" s="42"/>
      <c r="Y110" s="42"/>
      <c r="Z110" s="42"/>
      <c r="AA110" s="42"/>
      <c r="AB110" s="42"/>
      <c r="AC110" s="42"/>
      <c r="AD110" s="42"/>
      <c r="AE110" s="42"/>
      <c r="AF110" s="42"/>
      <c r="AG110" s="189"/>
      <c r="AH110" s="189"/>
      <c r="AI110" s="189"/>
      <c r="AJ110" s="189"/>
      <c r="AK110" s="109"/>
      <c r="AL110" s="189"/>
      <c r="AM110" s="189"/>
      <c r="AN110" s="109"/>
    </row>
    <row r="111" spans="1:46" s="2" customFormat="1" ht="165" x14ac:dyDescent="0.25">
      <c r="A111" s="28">
        <v>1</v>
      </c>
      <c r="B111" s="98" t="s">
        <v>27</v>
      </c>
      <c r="C111" s="98" t="s">
        <v>28</v>
      </c>
      <c r="D111" s="98">
        <v>2453012311</v>
      </c>
      <c r="E111" s="98">
        <v>1000094590</v>
      </c>
      <c r="F111" s="420" t="s">
        <v>1207</v>
      </c>
      <c r="G111" s="98">
        <v>8000766431</v>
      </c>
      <c r="H111" s="99">
        <v>45940</v>
      </c>
      <c r="I111" s="100" t="s">
        <v>1208</v>
      </c>
      <c r="J111" s="100" t="s">
        <v>263</v>
      </c>
      <c r="K111" s="101">
        <v>21473307.280000001</v>
      </c>
      <c r="L111" s="101"/>
      <c r="M111" s="100" t="s">
        <v>11</v>
      </c>
      <c r="N111" s="100" t="s">
        <v>1209</v>
      </c>
      <c r="O111" s="100"/>
      <c r="P111" s="98" t="s">
        <v>1210</v>
      </c>
      <c r="Q111" s="98" t="s">
        <v>13</v>
      </c>
      <c r="R111" s="98" t="s">
        <v>873</v>
      </c>
      <c r="S111" s="101">
        <v>7177861.5499999998</v>
      </c>
      <c r="T111" s="101">
        <v>7177861.5499999998</v>
      </c>
      <c r="U111" s="101">
        <v>0</v>
      </c>
      <c r="V111" s="50"/>
      <c r="W111" s="50"/>
      <c r="X111" s="50"/>
      <c r="Y111" s="50"/>
      <c r="Z111" s="50"/>
      <c r="AA111" s="28"/>
      <c r="AB111" s="28" t="s">
        <v>1211</v>
      </c>
      <c r="AC111" s="28"/>
      <c r="AD111" s="400" t="s">
        <v>1209</v>
      </c>
      <c r="AE111" s="408" t="s">
        <v>1331</v>
      </c>
      <c r="AF111" s="28"/>
      <c r="AG111" s="28"/>
      <c r="AH111" s="50" t="s">
        <v>1394</v>
      </c>
      <c r="AI111" s="50" t="s">
        <v>1694</v>
      </c>
      <c r="AJ111" s="50" t="s">
        <v>1695</v>
      </c>
      <c r="AK111" s="50" t="s">
        <v>4671</v>
      </c>
      <c r="AL111" s="408" t="s">
        <v>1544</v>
      </c>
      <c r="AM111" s="28" t="s">
        <v>4528</v>
      </c>
      <c r="AN111" s="462" t="s">
        <v>4642</v>
      </c>
      <c r="AP111" s="2">
        <v>1</v>
      </c>
    </row>
    <row r="112" spans="1:46" s="190" customFormat="1" x14ac:dyDescent="0.25">
      <c r="A112" s="398"/>
      <c r="B112" s="8"/>
      <c r="C112" s="8"/>
      <c r="D112" s="8"/>
      <c r="E112" s="8"/>
      <c r="F112" s="191"/>
      <c r="G112" s="8"/>
      <c r="H112" s="38"/>
      <c r="I112" s="15"/>
      <c r="J112" s="6"/>
      <c r="K112" s="65"/>
      <c r="L112" s="259">
        <f>K111+K112</f>
        <v>21473307.280000001</v>
      </c>
      <c r="M112" s="259"/>
      <c r="N112" s="8"/>
      <c r="O112" s="8"/>
      <c r="P112" s="6"/>
      <c r="Q112" s="6"/>
      <c r="R112" s="6"/>
      <c r="S112" s="42">
        <f>L112-S111</f>
        <v>14295445.73</v>
      </c>
      <c r="T112" s="42"/>
      <c r="U112" s="42"/>
      <c r="V112" s="42"/>
      <c r="W112" s="42"/>
      <c r="X112" s="42"/>
      <c r="Y112" s="42"/>
      <c r="Z112" s="42"/>
      <c r="AA112" s="42"/>
      <c r="AB112" s="42"/>
      <c r="AC112" s="42"/>
      <c r="AD112" s="42"/>
      <c r="AE112" s="42"/>
      <c r="AF112" s="42"/>
      <c r="AG112" s="189"/>
      <c r="AH112" s="189"/>
      <c r="AI112" s="189"/>
      <c r="AJ112" s="189"/>
      <c r="AK112" s="109"/>
      <c r="AL112" s="189"/>
      <c r="AM112" s="189"/>
      <c r="AN112" s="109"/>
    </row>
    <row r="113" spans="1:47" s="2" customFormat="1" ht="75" x14ac:dyDescent="0.25">
      <c r="A113" s="28">
        <v>1</v>
      </c>
      <c r="B113" s="98" t="s">
        <v>27</v>
      </c>
      <c r="C113" s="98" t="s">
        <v>28</v>
      </c>
      <c r="D113" s="98">
        <v>2453012311</v>
      </c>
      <c r="E113" s="98">
        <v>1000094590</v>
      </c>
      <c r="F113" s="420" t="s">
        <v>1212</v>
      </c>
      <c r="G113" s="98">
        <v>8000766007</v>
      </c>
      <c r="H113" s="99">
        <v>45938</v>
      </c>
      <c r="I113" s="100" t="s">
        <v>1213</v>
      </c>
      <c r="J113" s="100" t="s">
        <v>356</v>
      </c>
      <c r="K113" s="101">
        <v>44181927.520000003</v>
      </c>
      <c r="L113" s="101"/>
      <c r="M113" s="100" t="s">
        <v>11</v>
      </c>
      <c r="N113" s="100" t="s">
        <v>1214</v>
      </c>
      <c r="O113" s="100"/>
      <c r="P113" s="98" t="s">
        <v>1215</v>
      </c>
      <c r="Q113" s="98" t="s">
        <v>13</v>
      </c>
      <c r="R113" s="98" t="s">
        <v>1216</v>
      </c>
      <c r="S113" s="101">
        <v>0</v>
      </c>
      <c r="T113" s="101">
        <v>0</v>
      </c>
      <c r="U113" s="101">
        <v>0</v>
      </c>
      <c r="V113" s="50"/>
      <c r="W113" s="50"/>
      <c r="X113" s="50"/>
      <c r="Y113" s="50"/>
      <c r="Z113" s="50"/>
      <c r="AA113" s="28"/>
      <c r="AB113" s="28" t="s">
        <v>1211</v>
      </c>
      <c r="AC113" s="28"/>
      <c r="AD113" s="400" t="s">
        <v>1214</v>
      </c>
      <c r="AE113" s="408" t="s">
        <v>1330</v>
      </c>
      <c r="AF113" s="28"/>
      <c r="AG113" s="28"/>
      <c r="AH113" s="50" t="s">
        <v>1395</v>
      </c>
      <c r="AI113" s="50" t="s">
        <v>1571</v>
      </c>
      <c r="AJ113" s="50"/>
      <c r="AK113" s="50" t="s">
        <v>4604</v>
      </c>
      <c r="AL113" s="408" t="s">
        <v>1624</v>
      </c>
      <c r="AM113" s="28" t="s">
        <v>4467</v>
      </c>
      <c r="AN113" s="258" t="s">
        <v>4599</v>
      </c>
      <c r="AU113" s="2">
        <v>1</v>
      </c>
    </row>
    <row r="114" spans="1:47" s="190" customFormat="1" x14ac:dyDescent="0.25">
      <c r="A114" s="398"/>
      <c r="B114" s="8"/>
      <c r="C114" s="8"/>
      <c r="D114" s="8"/>
      <c r="E114" s="8"/>
      <c r="F114" s="191"/>
      <c r="G114" s="8"/>
      <c r="H114" s="38"/>
      <c r="I114" s="15"/>
      <c r="J114" s="6"/>
      <c r="K114" s="65"/>
      <c r="L114" s="259">
        <f>SUM(K113:K114)</f>
        <v>44181927.520000003</v>
      </c>
      <c r="M114" s="259"/>
      <c r="N114" s="8"/>
      <c r="O114" s="8"/>
      <c r="P114" s="6"/>
      <c r="Q114" s="6"/>
      <c r="R114" s="6"/>
      <c r="S114" s="42"/>
      <c r="T114" s="42"/>
      <c r="U114" s="42"/>
      <c r="V114" s="42"/>
      <c r="W114" s="42"/>
      <c r="X114" s="42"/>
      <c r="Y114" s="42"/>
      <c r="Z114" s="42"/>
      <c r="AA114" s="42"/>
      <c r="AB114" s="42"/>
      <c r="AC114" s="42"/>
      <c r="AD114" s="42"/>
      <c r="AE114" s="42"/>
      <c r="AF114" s="42"/>
      <c r="AG114" s="189"/>
      <c r="AH114" s="189"/>
      <c r="AI114" s="189"/>
      <c r="AJ114" s="189"/>
      <c r="AK114" s="109"/>
      <c r="AL114" s="189"/>
      <c r="AM114" s="189"/>
      <c r="AN114" s="109"/>
    </row>
    <row r="115" spans="1:47" s="2" customFormat="1" ht="150" x14ac:dyDescent="0.25">
      <c r="A115" s="28">
        <v>1</v>
      </c>
      <c r="B115" s="98" t="s">
        <v>1217</v>
      </c>
      <c r="C115" s="98" t="s">
        <v>1218</v>
      </c>
      <c r="D115" s="98">
        <v>2464039386</v>
      </c>
      <c r="E115" s="98">
        <v>1000028454</v>
      </c>
      <c r="F115" s="420" t="s">
        <v>1219</v>
      </c>
      <c r="G115" s="98">
        <v>8000770143</v>
      </c>
      <c r="H115" s="99">
        <v>45945</v>
      </c>
      <c r="I115" s="100" t="s">
        <v>1220</v>
      </c>
      <c r="J115" s="100" t="s">
        <v>357</v>
      </c>
      <c r="K115" s="101" t="s">
        <v>1221</v>
      </c>
      <c r="L115" s="101"/>
      <c r="M115" s="100" t="s">
        <v>11</v>
      </c>
      <c r="N115" s="100" t="s">
        <v>4738</v>
      </c>
      <c r="O115" s="100"/>
      <c r="P115" s="98" t="s">
        <v>1200</v>
      </c>
      <c r="Q115" s="98" t="s">
        <v>168</v>
      </c>
      <c r="R115" s="98" t="s">
        <v>39</v>
      </c>
      <c r="S115" s="101">
        <v>48547764.170000002</v>
      </c>
      <c r="T115" s="101">
        <v>41764914.960000001</v>
      </c>
      <c r="U115" s="101">
        <v>0</v>
      </c>
      <c r="V115" s="50"/>
      <c r="W115" s="50"/>
      <c r="X115" s="50"/>
      <c r="Y115" s="50"/>
      <c r="Z115" s="50"/>
      <c r="AA115" s="28"/>
      <c r="AB115" s="57" t="s">
        <v>641</v>
      </c>
      <c r="AC115" s="28"/>
      <c r="AD115" s="400" t="s">
        <v>4739</v>
      </c>
      <c r="AE115" s="408" t="s">
        <v>1329</v>
      </c>
      <c r="AF115" s="28"/>
      <c r="AG115" s="28"/>
      <c r="AH115" s="50" t="s">
        <v>1396</v>
      </c>
      <c r="AI115" s="50" t="s">
        <v>1595</v>
      </c>
      <c r="AJ115" s="50" t="s">
        <v>4740</v>
      </c>
      <c r="AK115" s="50" t="s">
        <v>4614</v>
      </c>
      <c r="AL115" s="408" t="s">
        <v>1628</v>
      </c>
      <c r="AM115" s="28" t="s">
        <v>4529</v>
      </c>
      <c r="AN115" s="464" t="s">
        <v>4741</v>
      </c>
      <c r="AR115" s="2">
        <v>1</v>
      </c>
    </row>
    <row r="116" spans="1:47" s="190" customFormat="1" x14ac:dyDescent="0.25">
      <c r="A116" s="398"/>
      <c r="B116" s="8"/>
      <c r="C116" s="8"/>
      <c r="D116" s="8"/>
      <c r="E116" s="8"/>
      <c r="F116" s="191"/>
      <c r="G116" s="8"/>
      <c r="H116" s="38"/>
      <c r="I116" s="15"/>
      <c r="J116" s="6"/>
      <c r="K116" s="65"/>
      <c r="L116" s="259">
        <v>52961554.299999997</v>
      </c>
      <c r="M116" s="259"/>
      <c r="N116" s="8"/>
      <c r="O116" s="8"/>
      <c r="P116" s="6"/>
      <c r="Q116" s="6"/>
      <c r="R116" s="6"/>
      <c r="S116" s="42">
        <f>L116-S115</f>
        <v>4413790.1299999952</v>
      </c>
      <c r="T116" s="42"/>
      <c r="U116" s="42"/>
      <c r="V116" s="42"/>
      <c r="W116" s="42"/>
      <c r="X116" s="42"/>
      <c r="Y116" s="42"/>
      <c r="Z116" s="42"/>
      <c r="AA116" s="42"/>
      <c r="AB116" s="42"/>
      <c r="AC116" s="42"/>
      <c r="AD116" s="42"/>
      <c r="AE116" s="42"/>
      <c r="AF116" s="42"/>
      <c r="AG116" s="189"/>
      <c r="AH116" s="189"/>
      <c r="AI116" s="189"/>
      <c r="AJ116" s="189"/>
      <c r="AK116" s="109"/>
      <c r="AL116" s="189"/>
      <c r="AM116" s="189"/>
      <c r="AN116" s="109"/>
    </row>
    <row r="117" spans="1:47" s="2" customFormat="1" ht="195" x14ac:dyDescent="0.25">
      <c r="A117" s="28">
        <v>1</v>
      </c>
      <c r="B117" s="98" t="s">
        <v>1222</v>
      </c>
      <c r="C117" s="98" t="s">
        <v>1223</v>
      </c>
      <c r="D117" s="98">
        <v>2703097800</v>
      </c>
      <c r="E117" s="98">
        <v>1000105103</v>
      </c>
      <c r="F117" s="420" t="s">
        <v>1224</v>
      </c>
      <c r="G117" s="98">
        <v>8000768793</v>
      </c>
      <c r="H117" s="99">
        <v>45946</v>
      </c>
      <c r="I117" s="100" t="s">
        <v>573</v>
      </c>
      <c r="J117" s="100" t="s">
        <v>357</v>
      </c>
      <c r="K117" s="101">
        <v>34120442.399999999</v>
      </c>
      <c r="L117" s="101"/>
      <c r="M117" s="100" t="s">
        <v>11</v>
      </c>
      <c r="N117" s="100" t="s">
        <v>1225</v>
      </c>
      <c r="O117" s="100"/>
      <c r="P117" s="98" t="s">
        <v>1226</v>
      </c>
      <c r="Q117" s="98" t="s">
        <v>13</v>
      </c>
      <c r="R117" s="98" t="s">
        <v>105</v>
      </c>
      <c r="S117" s="101">
        <v>104206433.40000001</v>
      </c>
      <c r="T117" s="101">
        <v>104206433.40000001</v>
      </c>
      <c r="U117" s="101">
        <v>0</v>
      </c>
      <c r="V117" s="50"/>
      <c r="W117" s="50"/>
      <c r="X117" s="50"/>
      <c r="Y117" s="50"/>
      <c r="Z117" s="50"/>
      <c r="AA117" s="28"/>
      <c r="AB117" s="57" t="s">
        <v>1227</v>
      </c>
      <c r="AC117" s="28"/>
      <c r="AD117" s="400" t="s">
        <v>1225</v>
      </c>
      <c r="AE117" s="408" t="s">
        <v>1328</v>
      </c>
      <c r="AF117" s="28"/>
      <c r="AG117" s="28"/>
      <c r="AH117" s="50" t="s">
        <v>1397</v>
      </c>
      <c r="AI117" s="50" t="s">
        <v>1600</v>
      </c>
      <c r="AJ117" s="50"/>
      <c r="AK117" s="50" t="s">
        <v>4672</v>
      </c>
      <c r="AL117" s="408"/>
      <c r="AM117" s="28" t="s">
        <v>4530</v>
      </c>
      <c r="AN117" s="462" t="s">
        <v>4642</v>
      </c>
      <c r="AP117" s="2">
        <v>1</v>
      </c>
    </row>
    <row r="118" spans="1:47" s="2" customFormat="1" ht="180" x14ac:dyDescent="0.25">
      <c r="A118" s="28"/>
      <c r="B118" s="98" t="s">
        <v>1222</v>
      </c>
      <c r="C118" s="98" t="s">
        <v>1223</v>
      </c>
      <c r="D118" s="98">
        <v>2703097800</v>
      </c>
      <c r="E118" s="98">
        <v>1000105103</v>
      </c>
      <c r="F118" s="420" t="s">
        <v>1473</v>
      </c>
      <c r="G118" s="98">
        <v>9000583089</v>
      </c>
      <c r="H118" s="99">
        <v>45982</v>
      </c>
      <c r="I118" s="100" t="s">
        <v>108</v>
      </c>
      <c r="J118" s="100" t="s">
        <v>357</v>
      </c>
      <c r="K118" s="101"/>
      <c r="L118" s="101">
        <v>78820376.400000006</v>
      </c>
      <c r="M118" s="100"/>
      <c r="N118" s="100" t="s">
        <v>1225</v>
      </c>
      <c r="O118" s="100"/>
      <c r="P118" s="98" t="s">
        <v>1474</v>
      </c>
      <c r="Q118" s="98" t="s">
        <v>168</v>
      </c>
      <c r="R118" s="98" t="s">
        <v>105</v>
      </c>
      <c r="S118" s="98"/>
      <c r="T118" s="100"/>
      <c r="U118" s="100"/>
      <c r="V118" s="50"/>
      <c r="W118" s="50"/>
      <c r="X118" s="50"/>
      <c r="Y118" s="50"/>
      <c r="Z118" s="50"/>
      <c r="AA118" s="28"/>
      <c r="AB118" s="57" t="s">
        <v>1227</v>
      </c>
      <c r="AC118" s="28"/>
      <c r="AD118" s="28"/>
      <c r="AE118" s="28"/>
      <c r="AF118" s="28"/>
      <c r="AG118" s="28"/>
      <c r="AH118" s="28"/>
      <c r="AI118" s="28"/>
      <c r="AJ118" s="28"/>
      <c r="AK118" s="50"/>
      <c r="AL118" s="28"/>
      <c r="AM118" s="28"/>
      <c r="AN118" s="258"/>
    </row>
    <row r="119" spans="1:47" s="190" customFormat="1" x14ac:dyDescent="0.25">
      <c r="A119" s="398"/>
      <c r="B119" s="8"/>
      <c r="C119" s="8"/>
      <c r="D119" s="8"/>
      <c r="E119" s="8"/>
      <c r="F119" s="191"/>
      <c r="G119" s="8"/>
      <c r="H119" s="38"/>
      <c r="I119" s="15"/>
      <c r="J119" s="6"/>
      <c r="K119" s="65"/>
      <c r="L119" s="259">
        <f>SUM(K117:L118)</f>
        <v>112940818.80000001</v>
      </c>
      <c r="M119" s="259"/>
      <c r="N119" s="8"/>
      <c r="O119" s="8"/>
      <c r="P119" s="6"/>
      <c r="Q119" s="6"/>
      <c r="R119" s="6"/>
      <c r="S119" s="42">
        <f>L119-S117</f>
        <v>8734385.400000006</v>
      </c>
      <c r="T119" s="42"/>
      <c r="U119" s="42"/>
      <c r="V119" s="42"/>
      <c r="W119" s="42"/>
      <c r="X119" s="42"/>
      <c r="Y119" s="42"/>
      <c r="Z119" s="42"/>
      <c r="AA119" s="42"/>
      <c r="AB119" s="42"/>
      <c r="AC119" s="42"/>
      <c r="AD119" s="42"/>
      <c r="AE119" s="42"/>
      <c r="AF119" s="42"/>
      <c r="AG119" s="189"/>
      <c r="AH119" s="189"/>
      <c r="AI119" s="189"/>
      <c r="AJ119" s="189"/>
      <c r="AK119" s="109"/>
      <c r="AL119" s="189"/>
      <c r="AM119" s="189"/>
      <c r="AN119" s="109"/>
    </row>
    <row r="120" spans="1:47" s="2" customFormat="1" ht="105" x14ac:dyDescent="0.25">
      <c r="A120" s="28">
        <v>1</v>
      </c>
      <c r="B120" s="98" t="s">
        <v>1228</v>
      </c>
      <c r="C120" s="98" t="s">
        <v>1229</v>
      </c>
      <c r="D120" s="98">
        <v>4218019695</v>
      </c>
      <c r="E120" s="98">
        <v>1000014237</v>
      </c>
      <c r="F120" s="420" t="s">
        <v>1230</v>
      </c>
      <c r="G120" s="98">
        <v>8000768585</v>
      </c>
      <c r="H120" s="99">
        <v>45946</v>
      </c>
      <c r="I120" s="100" t="s">
        <v>1231</v>
      </c>
      <c r="J120" s="100" t="s">
        <v>1232</v>
      </c>
      <c r="K120" s="101">
        <v>32502600</v>
      </c>
      <c r="L120" s="101"/>
      <c r="M120" s="100" t="s">
        <v>1233</v>
      </c>
      <c r="N120" s="100"/>
      <c r="O120" s="100"/>
      <c r="P120" s="98" t="s">
        <v>1234</v>
      </c>
      <c r="Q120" s="98" t="s">
        <v>13</v>
      </c>
      <c r="R120" s="98" t="s">
        <v>54</v>
      </c>
      <c r="S120" s="101">
        <v>3812670</v>
      </c>
      <c r="T120" s="101">
        <v>3812670</v>
      </c>
      <c r="U120" s="101">
        <v>3250260</v>
      </c>
      <c r="V120" s="50"/>
      <c r="W120" s="50"/>
      <c r="X120" s="50"/>
      <c r="Y120" s="50"/>
      <c r="Z120" s="50"/>
      <c r="AA120" s="28"/>
      <c r="AB120" s="57" t="s">
        <v>1235</v>
      </c>
      <c r="AC120" s="28"/>
      <c r="AD120" s="400" t="s">
        <v>1327</v>
      </c>
      <c r="AE120" s="408" t="s">
        <v>1326</v>
      </c>
      <c r="AF120" s="28"/>
      <c r="AG120" s="28"/>
      <c r="AH120" s="50" t="s">
        <v>1398</v>
      </c>
      <c r="AI120" s="50" t="s">
        <v>1583</v>
      </c>
      <c r="AJ120" s="50" t="s">
        <v>1575</v>
      </c>
      <c r="AK120" s="50" t="s">
        <v>4615</v>
      </c>
      <c r="AL120" s="408" t="s">
        <v>1627</v>
      </c>
      <c r="AM120" s="28" t="s">
        <v>4531</v>
      </c>
      <c r="AN120" s="462" t="s">
        <v>4642</v>
      </c>
      <c r="AP120" s="2">
        <v>1</v>
      </c>
    </row>
    <row r="121" spans="1:47" s="190" customFormat="1" x14ac:dyDescent="0.25">
      <c r="A121" s="398"/>
      <c r="B121" s="8"/>
      <c r="C121" s="8"/>
      <c r="D121" s="8"/>
      <c r="E121" s="8"/>
      <c r="F121" s="191"/>
      <c r="G121" s="8"/>
      <c r="H121" s="38"/>
      <c r="I121" s="15"/>
      <c r="J121" s="6"/>
      <c r="K121" s="65"/>
      <c r="L121" s="259">
        <f>K120+L120</f>
        <v>32502600</v>
      </c>
      <c r="M121" s="259"/>
      <c r="N121" s="8"/>
      <c r="O121" s="8"/>
      <c r="P121" s="6"/>
      <c r="Q121" s="6"/>
      <c r="R121" s="6"/>
      <c r="S121" s="42">
        <f>L121-S120</f>
        <v>28689930</v>
      </c>
      <c r="T121" s="42"/>
      <c r="U121" s="42"/>
      <c r="V121" s="42"/>
      <c r="W121" s="42"/>
      <c r="X121" s="42"/>
      <c r="Y121" s="42"/>
      <c r="Z121" s="42"/>
      <c r="AA121" s="42"/>
      <c r="AB121" s="42"/>
      <c r="AC121" s="42"/>
      <c r="AD121" s="42"/>
      <c r="AE121" s="42"/>
      <c r="AF121" s="42"/>
      <c r="AG121" s="189"/>
      <c r="AH121" s="189"/>
      <c r="AI121" s="189"/>
      <c r="AJ121" s="189"/>
      <c r="AK121" s="109"/>
      <c r="AL121" s="189"/>
      <c r="AM121" s="189"/>
      <c r="AN121" s="109"/>
    </row>
    <row r="122" spans="1:47" s="2" customFormat="1" ht="129.75" customHeight="1" x14ac:dyDescent="0.25">
      <c r="A122" s="28">
        <v>1</v>
      </c>
      <c r="B122" s="98" t="s">
        <v>131</v>
      </c>
      <c r="C122" s="98" t="s">
        <v>463</v>
      </c>
      <c r="D122" s="98">
        <v>5042120323</v>
      </c>
      <c r="E122" s="98">
        <v>1000101535</v>
      </c>
      <c r="F122" s="420" t="s">
        <v>1236</v>
      </c>
      <c r="G122" s="98">
        <v>8000758109</v>
      </c>
      <c r="H122" s="99">
        <v>45873</v>
      </c>
      <c r="I122" s="100" t="s">
        <v>1237</v>
      </c>
      <c r="J122" s="100" t="s">
        <v>356</v>
      </c>
      <c r="K122" s="101">
        <v>32778615.539999999</v>
      </c>
      <c r="L122" s="101"/>
      <c r="M122" s="100" t="s">
        <v>4742</v>
      </c>
      <c r="N122" s="100" t="s">
        <v>1238</v>
      </c>
      <c r="O122" s="100"/>
      <c r="P122" s="98" t="s">
        <v>1239</v>
      </c>
      <c r="Q122" s="98" t="s">
        <v>13</v>
      </c>
      <c r="R122" s="98" t="s">
        <v>894</v>
      </c>
      <c r="S122" s="101">
        <v>26049310.52</v>
      </c>
      <c r="T122" s="101">
        <v>26049310.52</v>
      </c>
      <c r="U122" s="101">
        <v>9833584.6600000001</v>
      </c>
      <c r="V122" s="50"/>
      <c r="W122" s="50"/>
      <c r="X122" s="50"/>
      <c r="Y122" s="50"/>
      <c r="Z122" s="50"/>
      <c r="AA122" s="28"/>
      <c r="AB122" s="57" t="s">
        <v>237</v>
      </c>
      <c r="AC122" s="28"/>
      <c r="AD122" s="400" t="s">
        <v>1238</v>
      </c>
      <c r="AE122" s="408" t="s">
        <v>1325</v>
      </c>
      <c r="AF122" s="28"/>
      <c r="AG122" s="28"/>
      <c r="AH122" s="50" t="s">
        <v>1399</v>
      </c>
      <c r="AI122" s="50"/>
      <c r="AJ122" s="50" t="s">
        <v>1597</v>
      </c>
      <c r="AK122" s="50" t="s">
        <v>4616</v>
      </c>
      <c r="AL122" s="408" t="s">
        <v>1631</v>
      </c>
      <c r="AM122" s="28" t="s">
        <v>4532</v>
      </c>
      <c r="AN122" s="462" t="s">
        <v>4642</v>
      </c>
      <c r="AP122" s="2">
        <v>1</v>
      </c>
    </row>
    <row r="123" spans="1:47" s="190" customFormat="1" x14ac:dyDescent="0.25">
      <c r="A123" s="398"/>
      <c r="B123" s="8"/>
      <c r="C123" s="8"/>
      <c r="D123" s="8"/>
      <c r="E123" s="8"/>
      <c r="F123" s="191"/>
      <c r="G123" s="8"/>
      <c r="H123" s="38"/>
      <c r="I123" s="15"/>
      <c r="J123" s="6"/>
      <c r="K123" s="65"/>
      <c r="L123" s="259"/>
      <c r="M123" s="259"/>
      <c r="N123" s="8"/>
      <c r="O123" s="8"/>
      <c r="P123" s="6"/>
      <c r="Q123" s="6"/>
      <c r="R123" s="6"/>
      <c r="S123" s="42">
        <f>K122-S122</f>
        <v>6729305.0199999996</v>
      </c>
      <c r="T123" s="42"/>
      <c r="U123" s="42"/>
      <c r="V123" s="42"/>
      <c r="W123" s="42"/>
      <c r="X123" s="42"/>
      <c r="Y123" s="42"/>
      <c r="Z123" s="42"/>
      <c r="AA123" s="42"/>
      <c r="AB123" s="42"/>
      <c r="AC123" s="42"/>
      <c r="AD123" s="42"/>
      <c r="AE123" s="42"/>
      <c r="AF123" s="42"/>
      <c r="AG123" s="189"/>
      <c r="AH123" s="189"/>
      <c r="AI123" s="189"/>
      <c r="AJ123" s="189"/>
      <c r="AK123" s="109"/>
      <c r="AL123" s="189"/>
      <c r="AM123" s="189"/>
      <c r="AN123" s="109"/>
    </row>
    <row r="124" spans="1:47" s="2" customFormat="1" ht="105.75" customHeight="1" x14ac:dyDescent="0.25">
      <c r="A124" s="28">
        <v>1</v>
      </c>
      <c r="B124" s="98" t="s">
        <v>21</v>
      </c>
      <c r="C124" s="98" t="s">
        <v>1240</v>
      </c>
      <c r="D124" s="98">
        <v>6670347009</v>
      </c>
      <c r="E124" s="98">
        <v>1000100422</v>
      </c>
      <c r="F124" s="420" t="s">
        <v>1241</v>
      </c>
      <c r="G124" s="98">
        <v>8000763155</v>
      </c>
      <c r="H124" s="99">
        <v>45947</v>
      </c>
      <c r="I124" s="100" t="s">
        <v>1242</v>
      </c>
      <c r="J124" s="100" t="s">
        <v>357</v>
      </c>
      <c r="K124" s="101">
        <v>29343794.399999999</v>
      </c>
      <c r="L124" s="101"/>
      <c r="M124" s="100" t="s">
        <v>11</v>
      </c>
      <c r="N124" s="100" t="s">
        <v>1243</v>
      </c>
      <c r="O124" s="100"/>
      <c r="P124" s="98" t="s">
        <v>1244</v>
      </c>
      <c r="Q124" s="98" t="s">
        <v>13</v>
      </c>
      <c r="R124" s="98" t="s">
        <v>873</v>
      </c>
      <c r="S124" s="101">
        <v>18236880</v>
      </c>
      <c r="T124" s="101">
        <v>18236880</v>
      </c>
      <c r="U124" s="101">
        <v>0</v>
      </c>
      <c r="V124" s="50"/>
      <c r="W124" s="50"/>
      <c r="X124" s="50"/>
      <c r="Y124" s="50"/>
      <c r="Z124" s="50"/>
      <c r="AA124" s="28"/>
      <c r="AB124" s="57" t="s">
        <v>1245</v>
      </c>
      <c r="AC124" s="28"/>
      <c r="AD124" s="400" t="s">
        <v>1243</v>
      </c>
      <c r="AE124" s="408" t="s">
        <v>1323</v>
      </c>
      <c r="AF124" s="28"/>
      <c r="AG124" s="28"/>
      <c r="AH124" s="50" t="s">
        <v>1400</v>
      </c>
      <c r="AI124" s="50" t="s">
        <v>1582</v>
      </c>
      <c r="AJ124" s="50" t="s">
        <v>1582</v>
      </c>
      <c r="AK124" s="50" t="s">
        <v>4673</v>
      </c>
      <c r="AL124" s="408" t="s">
        <v>1632</v>
      </c>
      <c r="AM124" s="28" t="s">
        <v>4533</v>
      </c>
      <c r="AN124" s="462" t="s">
        <v>4642</v>
      </c>
      <c r="AP124" s="2">
        <v>1</v>
      </c>
    </row>
    <row r="125" spans="1:47" s="190" customFormat="1" x14ac:dyDescent="0.25">
      <c r="A125" s="398"/>
      <c r="B125" s="8"/>
      <c r="C125" s="8"/>
      <c r="D125" s="8"/>
      <c r="E125" s="8"/>
      <c r="F125" s="191"/>
      <c r="G125" s="8"/>
      <c r="H125" s="38"/>
      <c r="I125" s="15"/>
      <c r="J125" s="6"/>
      <c r="K125" s="65"/>
      <c r="L125" s="259">
        <f>K124+K125</f>
        <v>29343794.399999999</v>
      </c>
      <c r="M125" s="259"/>
      <c r="N125" s="8"/>
      <c r="O125" s="8"/>
      <c r="P125" s="6"/>
      <c r="Q125" s="6"/>
      <c r="R125" s="6"/>
      <c r="S125" s="42">
        <f>L125-S124</f>
        <v>11106914.399999999</v>
      </c>
      <c r="T125" s="42"/>
      <c r="U125" s="42"/>
      <c r="V125" s="42"/>
      <c r="W125" s="42"/>
      <c r="X125" s="42"/>
      <c r="Y125" s="42"/>
      <c r="Z125" s="42"/>
      <c r="AA125" s="42"/>
      <c r="AB125" s="42"/>
      <c r="AC125" s="42"/>
      <c r="AD125" s="42"/>
      <c r="AE125" s="42"/>
      <c r="AF125" s="42"/>
      <c r="AG125" s="189"/>
      <c r="AH125" s="189"/>
      <c r="AI125" s="189"/>
      <c r="AJ125" s="189"/>
      <c r="AK125" s="109"/>
      <c r="AL125" s="189"/>
      <c r="AM125" s="189"/>
      <c r="AN125" s="109"/>
    </row>
    <row r="126" spans="1:47" s="460" customFormat="1" ht="90" x14ac:dyDescent="0.25">
      <c r="A126" s="98">
        <v>1</v>
      </c>
      <c r="B126" s="98" t="s">
        <v>1255</v>
      </c>
      <c r="C126" s="98" t="s">
        <v>1256</v>
      </c>
      <c r="D126" s="98">
        <v>2465346950</v>
      </c>
      <c r="E126" s="98">
        <v>1000185870</v>
      </c>
      <c r="F126" s="420" t="s">
        <v>1257</v>
      </c>
      <c r="G126" s="98">
        <v>8000773857</v>
      </c>
      <c r="H126" s="99">
        <v>45940</v>
      </c>
      <c r="I126" s="98" t="s">
        <v>1258</v>
      </c>
      <c r="J126" s="100" t="s">
        <v>748</v>
      </c>
      <c r="K126" s="434">
        <v>32068224</v>
      </c>
      <c r="L126" s="98"/>
      <c r="M126" s="98" t="s">
        <v>11</v>
      </c>
      <c r="N126" s="98" t="s">
        <v>1259</v>
      </c>
      <c r="O126" s="98"/>
      <c r="P126" s="98" t="s">
        <v>1260</v>
      </c>
      <c r="Q126" s="98" t="s">
        <v>168</v>
      </c>
      <c r="R126" s="98" t="s">
        <v>873</v>
      </c>
      <c r="S126" s="101">
        <v>27771113.309999999</v>
      </c>
      <c r="T126" s="101">
        <v>27771113.309999999</v>
      </c>
      <c r="U126" s="101">
        <v>0</v>
      </c>
      <c r="V126" s="98"/>
      <c r="W126" s="98"/>
      <c r="X126" s="98"/>
      <c r="Y126" s="98"/>
      <c r="Z126" s="98"/>
      <c r="AA126" s="98"/>
      <c r="AB126" s="98" t="s">
        <v>1261</v>
      </c>
      <c r="AC126" s="98"/>
      <c r="AD126" s="400" t="s">
        <v>1259</v>
      </c>
      <c r="AE126" s="408" t="s">
        <v>1321</v>
      </c>
      <c r="AF126" s="98"/>
      <c r="AG126" s="98"/>
      <c r="AH126" s="50" t="s">
        <v>1401</v>
      </c>
      <c r="AI126" s="50" t="s">
        <v>1570</v>
      </c>
      <c r="AJ126" s="50" t="s">
        <v>1670</v>
      </c>
      <c r="AK126" s="50" t="s">
        <v>4674</v>
      </c>
      <c r="AL126" s="408" t="s">
        <v>1633</v>
      </c>
      <c r="AM126" s="28" t="s">
        <v>4534</v>
      </c>
      <c r="AN126" s="463" t="s">
        <v>4589</v>
      </c>
      <c r="AS126" s="460">
        <v>1</v>
      </c>
    </row>
    <row r="127" spans="1:47" s="190" customFormat="1" x14ac:dyDescent="0.25">
      <c r="A127" s="398"/>
      <c r="B127" s="8"/>
      <c r="C127" s="8"/>
      <c r="D127" s="8"/>
      <c r="E127" s="8"/>
      <c r="F127" s="191"/>
      <c r="G127" s="8"/>
      <c r="H127" s="38"/>
      <c r="I127" s="15"/>
      <c r="J127" s="6"/>
      <c r="K127" s="65"/>
      <c r="L127" s="259">
        <f>SUM(K126)</f>
        <v>32068224</v>
      </c>
      <c r="M127" s="259"/>
      <c r="N127" s="8"/>
      <c r="O127" s="8"/>
      <c r="P127" s="6"/>
      <c r="Q127" s="6"/>
      <c r="R127" s="6"/>
      <c r="S127" s="42">
        <f>L127-S126</f>
        <v>4297110.6900000013</v>
      </c>
      <c r="T127" s="42"/>
      <c r="U127" s="42"/>
      <c r="V127" s="42"/>
      <c r="W127" s="42"/>
      <c r="X127" s="42"/>
      <c r="Y127" s="42"/>
      <c r="Z127" s="42"/>
      <c r="AA127" s="42"/>
      <c r="AB127" s="42"/>
      <c r="AC127" s="42"/>
      <c r="AD127" s="42"/>
      <c r="AE127" s="42"/>
      <c r="AF127" s="42"/>
      <c r="AG127" s="189"/>
      <c r="AH127" s="189"/>
      <c r="AI127" s="189"/>
      <c r="AJ127" s="189"/>
      <c r="AK127" s="109"/>
      <c r="AL127" s="189"/>
      <c r="AM127" s="189"/>
      <c r="AN127" s="109"/>
    </row>
    <row r="128" spans="1:47" s="460" customFormat="1" ht="156.75" customHeight="1" x14ac:dyDescent="0.25">
      <c r="A128" s="98">
        <v>1</v>
      </c>
      <c r="B128" s="98" t="s">
        <v>27</v>
      </c>
      <c r="C128" s="98" t="s">
        <v>28</v>
      </c>
      <c r="D128" s="98">
        <v>2453012311</v>
      </c>
      <c r="E128" s="98">
        <v>1000094590</v>
      </c>
      <c r="F128" s="420" t="s">
        <v>1262</v>
      </c>
      <c r="G128" s="98">
        <v>8000772360</v>
      </c>
      <c r="H128" s="99">
        <v>45950</v>
      </c>
      <c r="I128" s="98" t="s">
        <v>1263</v>
      </c>
      <c r="J128" s="100" t="s">
        <v>356</v>
      </c>
      <c r="K128" s="434">
        <v>143743133.13</v>
      </c>
      <c r="L128" s="98"/>
      <c r="M128" s="98" t="s">
        <v>1264</v>
      </c>
      <c r="N128" s="98" t="s">
        <v>1265</v>
      </c>
      <c r="O128" s="98"/>
      <c r="P128" s="98" t="s">
        <v>1266</v>
      </c>
      <c r="Q128" s="98" t="s">
        <v>168</v>
      </c>
      <c r="R128" s="98" t="s">
        <v>894</v>
      </c>
      <c r="S128" s="101">
        <v>61650677.460000001</v>
      </c>
      <c r="T128" s="101">
        <v>45599730.130000003</v>
      </c>
      <c r="U128" s="101" t="s">
        <v>4460</v>
      </c>
      <c r="V128" s="98"/>
      <c r="W128" s="98"/>
      <c r="X128" s="98"/>
      <c r="Y128" s="98"/>
      <c r="Z128" s="98"/>
      <c r="AA128" s="98"/>
      <c r="AB128" s="98" t="s">
        <v>1211</v>
      </c>
      <c r="AC128" s="98"/>
      <c r="AD128" s="400" t="s">
        <v>1265</v>
      </c>
      <c r="AE128" s="408" t="s">
        <v>1324</v>
      </c>
      <c r="AF128" s="98"/>
      <c r="AG128" s="98"/>
      <c r="AH128" s="50" t="s">
        <v>1402</v>
      </c>
      <c r="AI128" s="50" t="s">
        <v>1569</v>
      </c>
      <c r="AJ128" s="50" t="s">
        <v>4743</v>
      </c>
      <c r="AK128" s="50" t="s">
        <v>4617</v>
      </c>
      <c r="AL128" s="408" t="s">
        <v>1634</v>
      </c>
      <c r="AM128" s="28" t="s">
        <v>4535</v>
      </c>
      <c r="AN128" s="464" t="s">
        <v>4744</v>
      </c>
      <c r="AR128" s="460">
        <v>1</v>
      </c>
    </row>
    <row r="129" spans="1:45" s="190" customFormat="1" x14ac:dyDescent="0.25">
      <c r="A129" s="398"/>
      <c r="B129" s="8"/>
      <c r="C129" s="8"/>
      <c r="D129" s="8"/>
      <c r="E129" s="8"/>
      <c r="F129" s="191"/>
      <c r="G129" s="8"/>
      <c r="H129" s="38"/>
      <c r="I129" s="15"/>
      <c r="J129" s="6"/>
      <c r="K129" s="65"/>
      <c r="L129" s="259">
        <f>K128+K129</f>
        <v>143743133.13</v>
      </c>
      <c r="M129" s="259"/>
      <c r="N129" s="8"/>
      <c r="O129" s="8"/>
      <c r="P129" s="6"/>
      <c r="Q129" s="6"/>
      <c r="R129" s="6"/>
      <c r="S129" s="42">
        <f>L129-S128</f>
        <v>82092455.669999987</v>
      </c>
      <c r="T129" s="42"/>
      <c r="U129" s="42"/>
      <c r="V129" s="42"/>
      <c r="W129" s="42"/>
      <c r="X129" s="42"/>
      <c r="Y129" s="42"/>
      <c r="Z129" s="42"/>
      <c r="AA129" s="42"/>
      <c r="AB129" s="42"/>
      <c r="AC129" s="42"/>
      <c r="AD129" s="42"/>
      <c r="AE129" s="42"/>
      <c r="AF129" s="42"/>
      <c r="AG129" s="189"/>
      <c r="AH129" s="189"/>
      <c r="AI129" s="189"/>
      <c r="AJ129" s="189"/>
      <c r="AK129" s="109"/>
      <c r="AL129" s="189"/>
      <c r="AM129" s="189"/>
      <c r="AN129" s="109"/>
    </row>
    <row r="130" spans="1:45" s="2" customFormat="1" ht="108" customHeight="1" x14ac:dyDescent="0.25">
      <c r="A130" s="28">
        <v>1</v>
      </c>
      <c r="B130" s="98" t="s">
        <v>1267</v>
      </c>
      <c r="C130" s="98" t="s">
        <v>1268</v>
      </c>
      <c r="D130" s="98">
        <v>7725688115</v>
      </c>
      <c r="E130" s="98">
        <v>1000169794</v>
      </c>
      <c r="F130" s="420" t="s">
        <v>1269</v>
      </c>
      <c r="G130" s="98">
        <v>8000768758</v>
      </c>
      <c r="H130" s="99">
        <v>45950</v>
      </c>
      <c r="I130" s="100" t="s">
        <v>1270</v>
      </c>
      <c r="J130" s="100" t="s">
        <v>1271</v>
      </c>
      <c r="K130" s="101">
        <v>65710200</v>
      </c>
      <c r="L130" s="101"/>
      <c r="M130" s="100" t="s">
        <v>1272</v>
      </c>
      <c r="N130" s="100" t="s">
        <v>1273</v>
      </c>
      <c r="O130" s="100"/>
      <c r="P130" s="98" t="s">
        <v>1274</v>
      </c>
      <c r="Q130" s="98" t="s">
        <v>168</v>
      </c>
      <c r="R130" s="98" t="s">
        <v>1275</v>
      </c>
      <c r="S130" s="101">
        <v>60481024</v>
      </c>
      <c r="T130" s="101">
        <v>63039729.920000002</v>
      </c>
      <c r="U130" s="101">
        <v>5000000</v>
      </c>
      <c r="V130" s="50"/>
      <c r="W130" s="50"/>
      <c r="X130" s="50"/>
      <c r="Y130" s="50"/>
      <c r="Z130" s="50"/>
      <c r="AA130" s="28"/>
      <c r="AB130" s="57" t="s">
        <v>1276</v>
      </c>
      <c r="AC130" s="28"/>
      <c r="AD130" s="400" t="s">
        <v>1273</v>
      </c>
      <c r="AE130" s="408" t="s">
        <v>1320</v>
      </c>
      <c r="AF130" s="28"/>
      <c r="AG130" s="28"/>
      <c r="AH130" s="50" t="s">
        <v>1403</v>
      </c>
      <c r="AI130" s="50" t="s">
        <v>1568</v>
      </c>
      <c r="AJ130" s="50" t="s">
        <v>1672</v>
      </c>
      <c r="AK130" s="50" t="s">
        <v>4618</v>
      </c>
      <c r="AL130" s="408" t="s">
        <v>1635</v>
      </c>
      <c r="AM130" s="28" t="s">
        <v>4536</v>
      </c>
      <c r="AN130" s="401" t="s">
        <v>4692</v>
      </c>
      <c r="AQ130" s="2">
        <v>1</v>
      </c>
    </row>
    <row r="131" spans="1:45" s="190" customFormat="1" x14ac:dyDescent="0.25">
      <c r="A131" s="398"/>
      <c r="B131" s="8"/>
      <c r="C131" s="8"/>
      <c r="D131" s="8"/>
      <c r="E131" s="8"/>
      <c r="F131" s="191"/>
      <c r="G131" s="8"/>
      <c r="H131" s="38"/>
      <c r="I131" s="15"/>
      <c r="J131" s="6"/>
      <c r="K131" s="65"/>
      <c r="L131" s="259">
        <f>K130+L130</f>
        <v>65710200</v>
      </c>
      <c r="M131" s="259"/>
      <c r="N131" s="8"/>
      <c r="O131" s="8"/>
      <c r="P131" s="6"/>
      <c r="Q131" s="6"/>
      <c r="R131" s="6"/>
      <c r="S131" s="42">
        <f>L131-S130</f>
        <v>5229176</v>
      </c>
      <c r="T131" s="42"/>
      <c r="U131" s="42"/>
      <c r="V131" s="42"/>
      <c r="W131" s="42"/>
      <c r="X131" s="42"/>
      <c r="Y131" s="42"/>
      <c r="Z131" s="42"/>
      <c r="AA131" s="42"/>
      <c r="AB131" s="42"/>
      <c r="AC131" s="42"/>
      <c r="AD131" s="42"/>
      <c r="AE131" s="42"/>
      <c r="AF131" s="42"/>
      <c r="AG131" s="189"/>
      <c r="AH131" s="189"/>
      <c r="AI131" s="189"/>
      <c r="AJ131" s="189"/>
      <c r="AK131" s="109"/>
      <c r="AL131" s="189"/>
      <c r="AM131" s="189"/>
      <c r="AN131" s="109"/>
    </row>
    <row r="132" spans="1:45" s="2" customFormat="1" ht="126" customHeight="1" x14ac:dyDescent="0.25">
      <c r="A132" s="28">
        <v>1</v>
      </c>
      <c r="B132" s="98" t="s">
        <v>849</v>
      </c>
      <c r="C132" s="98" t="s">
        <v>28</v>
      </c>
      <c r="D132" s="98">
        <v>2453012311</v>
      </c>
      <c r="E132" s="98">
        <v>1000094590</v>
      </c>
      <c r="F132" s="420" t="s">
        <v>1277</v>
      </c>
      <c r="G132" s="98">
        <v>8000768616</v>
      </c>
      <c r="H132" s="430">
        <v>45950</v>
      </c>
      <c r="I132" s="423" t="s">
        <v>573</v>
      </c>
      <c r="J132" s="204" t="s">
        <v>1278</v>
      </c>
      <c r="K132" s="101">
        <v>88351415.879999995</v>
      </c>
      <c r="L132" s="28"/>
      <c r="M132" s="424" t="s">
        <v>1279</v>
      </c>
      <c r="N132" s="424" t="s">
        <v>1280</v>
      </c>
      <c r="O132" s="28"/>
      <c r="P132" s="28" t="s">
        <v>1200</v>
      </c>
      <c r="Q132" s="28" t="s">
        <v>168</v>
      </c>
      <c r="R132" s="28" t="s">
        <v>1281</v>
      </c>
      <c r="S132" s="101">
        <v>2112730</v>
      </c>
      <c r="T132" s="101">
        <v>15048532.880000001</v>
      </c>
      <c r="U132" s="101">
        <v>13252712.380000001</v>
      </c>
      <c r="V132" s="28"/>
      <c r="W132" s="28"/>
      <c r="X132" s="28"/>
      <c r="Y132" s="28"/>
      <c r="Z132" s="28"/>
      <c r="AA132" s="28"/>
      <c r="AB132" s="28" t="s">
        <v>240</v>
      </c>
      <c r="AC132" s="28"/>
      <c r="AD132" s="400" t="s">
        <v>1280</v>
      </c>
      <c r="AE132" s="408" t="s">
        <v>1318</v>
      </c>
      <c r="AF132" s="28"/>
      <c r="AG132" s="28"/>
      <c r="AH132" s="50" t="s">
        <v>1149</v>
      </c>
      <c r="AI132" s="50" t="s">
        <v>1581</v>
      </c>
      <c r="AJ132" s="50" t="s">
        <v>1671</v>
      </c>
      <c r="AK132" s="50" t="s">
        <v>4675</v>
      </c>
      <c r="AL132" s="408" t="s">
        <v>1549</v>
      </c>
      <c r="AM132" s="28" t="s">
        <v>4597</v>
      </c>
      <c r="AN132" s="462" t="s">
        <v>4642</v>
      </c>
      <c r="AP132" s="2">
        <v>1</v>
      </c>
    </row>
    <row r="133" spans="1:45" s="190" customFormat="1" x14ac:dyDescent="0.25">
      <c r="A133" s="398"/>
      <c r="B133" s="8"/>
      <c r="C133" s="8"/>
      <c r="D133" s="8"/>
      <c r="E133" s="8"/>
      <c r="F133" s="191"/>
      <c r="G133" s="8"/>
      <c r="H133" s="38"/>
      <c r="I133" s="15"/>
      <c r="J133" s="6"/>
      <c r="K133" s="65"/>
      <c r="L133" s="259">
        <v>88351415.879999995</v>
      </c>
      <c r="M133" s="259"/>
      <c r="N133" s="8"/>
      <c r="O133" s="8"/>
      <c r="P133" s="6"/>
      <c r="Q133" s="6"/>
      <c r="R133" s="6"/>
      <c r="S133" s="42">
        <f>L133-S132</f>
        <v>86238685.879999995</v>
      </c>
      <c r="T133" s="42"/>
      <c r="U133" s="42">
        <f>T132-S132</f>
        <v>12935802.880000001</v>
      </c>
      <c r="V133" s="42"/>
      <c r="W133" s="42"/>
      <c r="X133" s="42"/>
      <c r="Y133" s="42"/>
      <c r="Z133" s="42"/>
      <c r="AA133" s="42"/>
      <c r="AB133" s="42"/>
      <c r="AC133" s="42"/>
      <c r="AD133" s="42"/>
      <c r="AE133" s="42"/>
      <c r="AF133" s="42"/>
      <c r="AG133" s="189"/>
      <c r="AH133" s="189"/>
      <c r="AI133" s="189"/>
      <c r="AJ133" s="189"/>
      <c r="AK133" s="109"/>
      <c r="AL133" s="189"/>
      <c r="AM133" s="189"/>
      <c r="AN133" s="109"/>
    </row>
    <row r="134" spans="1:45" s="2" customFormat="1" ht="138" customHeight="1" x14ac:dyDescent="0.25">
      <c r="A134" s="28">
        <v>1</v>
      </c>
      <c r="B134" s="98" t="s">
        <v>1194</v>
      </c>
      <c r="C134" s="98" t="s">
        <v>1195</v>
      </c>
      <c r="D134" s="98" t="s">
        <v>1196</v>
      </c>
      <c r="E134" s="98">
        <v>1000047411</v>
      </c>
      <c r="F134" s="420" t="s">
        <v>1289</v>
      </c>
      <c r="G134" s="98">
        <v>8000771562</v>
      </c>
      <c r="H134" s="99">
        <v>45952</v>
      </c>
      <c r="I134" s="423" t="s">
        <v>1290</v>
      </c>
      <c r="J134" s="100" t="s">
        <v>356</v>
      </c>
      <c r="K134" s="101">
        <v>144999594.47</v>
      </c>
      <c r="L134" s="99"/>
      <c r="M134" s="100" t="s">
        <v>1291</v>
      </c>
      <c r="N134" s="416" t="s">
        <v>1292</v>
      </c>
      <c r="O134" s="100"/>
      <c r="P134" s="98" t="s">
        <v>1293</v>
      </c>
      <c r="Q134" s="98" t="s">
        <v>168</v>
      </c>
      <c r="R134" s="98" t="s">
        <v>894</v>
      </c>
      <c r="S134" s="101">
        <v>0</v>
      </c>
      <c r="T134" s="101">
        <v>5000000</v>
      </c>
      <c r="U134" s="101">
        <v>5000000</v>
      </c>
      <c r="V134" s="50"/>
      <c r="W134" s="50"/>
      <c r="X134" s="50"/>
      <c r="Y134" s="50"/>
      <c r="Z134" s="50"/>
      <c r="AA134" s="28"/>
      <c r="AB134" s="57" t="s">
        <v>1201</v>
      </c>
      <c r="AC134" s="28"/>
      <c r="AD134" s="400" t="s">
        <v>1292</v>
      </c>
      <c r="AE134" s="408" t="s">
        <v>1317</v>
      </c>
      <c r="AF134" s="28"/>
      <c r="AG134" s="28"/>
      <c r="AH134" s="50" t="s">
        <v>1404</v>
      </c>
      <c r="AI134" s="50" t="s">
        <v>1593</v>
      </c>
      <c r="AJ134" s="50" t="s">
        <v>1697</v>
      </c>
      <c r="AK134" s="50" t="s">
        <v>4619</v>
      </c>
      <c r="AL134" s="408" t="s">
        <v>1545</v>
      </c>
      <c r="AM134" s="28" t="s">
        <v>4598</v>
      </c>
      <c r="AN134" s="401" t="s">
        <v>4692</v>
      </c>
      <c r="AQ134" s="2">
        <v>1</v>
      </c>
    </row>
    <row r="135" spans="1:45" s="190" customFormat="1" x14ac:dyDescent="0.25">
      <c r="A135" s="398"/>
      <c r="B135" s="8"/>
      <c r="C135" s="8"/>
      <c r="D135" s="8"/>
      <c r="E135" s="8"/>
      <c r="F135" s="191"/>
      <c r="G135" s="8"/>
      <c r="H135" s="38"/>
      <c r="I135" s="15"/>
      <c r="J135" s="6"/>
      <c r="K135" s="65"/>
      <c r="L135" s="259">
        <f>K134+L134</f>
        <v>144999594.47</v>
      </c>
      <c r="M135" s="259"/>
      <c r="N135" s="8"/>
      <c r="O135" s="8"/>
      <c r="P135" s="6"/>
      <c r="Q135" s="6"/>
      <c r="R135" s="6"/>
      <c r="S135" s="42"/>
      <c r="T135" s="42"/>
      <c r="U135" s="42"/>
      <c r="V135" s="42"/>
      <c r="W135" s="42"/>
      <c r="X135" s="42"/>
      <c r="Y135" s="42"/>
      <c r="Z135" s="42"/>
      <c r="AA135" s="42"/>
      <c r="AB135" s="42"/>
      <c r="AC135" s="42"/>
      <c r="AD135" s="42"/>
      <c r="AE135" s="42"/>
      <c r="AF135" s="42"/>
      <c r="AG135" s="189"/>
      <c r="AH135" s="189"/>
      <c r="AI135" s="189"/>
      <c r="AJ135" s="189"/>
      <c r="AK135" s="109"/>
      <c r="AL135" s="189"/>
      <c r="AM135" s="189"/>
      <c r="AN135" s="109"/>
    </row>
    <row r="136" spans="1:45" s="460" customFormat="1" ht="120" x14ac:dyDescent="0.25">
      <c r="A136" s="98">
        <v>1</v>
      </c>
      <c r="B136" s="98" t="s">
        <v>1294</v>
      </c>
      <c r="C136" s="98" t="s">
        <v>1295</v>
      </c>
      <c r="D136" s="98">
        <v>2725031842</v>
      </c>
      <c r="E136" s="98">
        <v>1000018329</v>
      </c>
      <c r="F136" s="420" t="s">
        <v>1296</v>
      </c>
      <c r="G136" s="98">
        <v>8000777268</v>
      </c>
      <c r="H136" s="99">
        <v>45966</v>
      </c>
      <c r="I136" s="423" t="s">
        <v>1297</v>
      </c>
      <c r="J136" s="100" t="s">
        <v>645</v>
      </c>
      <c r="K136" s="434">
        <v>4979688.38</v>
      </c>
      <c r="L136" s="98"/>
      <c r="M136" s="98" t="s">
        <v>11</v>
      </c>
      <c r="N136" s="100" t="s">
        <v>1298</v>
      </c>
      <c r="O136" s="98"/>
      <c r="P136" s="98" t="s">
        <v>1299</v>
      </c>
      <c r="Q136" s="98" t="s">
        <v>13</v>
      </c>
      <c r="R136" s="98" t="s">
        <v>1300</v>
      </c>
      <c r="S136" s="101">
        <v>4006391.93</v>
      </c>
      <c r="T136" s="101">
        <v>4006391.93</v>
      </c>
      <c r="U136" s="101">
        <v>0</v>
      </c>
      <c r="V136" s="98"/>
      <c r="W136" s="98"/>
      <c r="X136" s="98"/>
      <c r="Y136" s="98"/>
      <c r="Z136" s="98"/>
      <c r="AA136" s="98"/>
      <c r="AB136" s="452" t="s">
        <v>1301</v>
      </c>
      <c r="AC136" s="98"/>
      <c r="AD136" s="400" t="s">
        <v>1298</v>
      </c>
      <c r="AE136" s="408" t="s">
        <v>1316</v>
      </c>
      <c r="AF136" s="98"/>
      <c r="AG136" s="98"/>
      <c r="AH136" s="50" t="s">
        <v>1405</v>
      </c>
      <c r="AI136" s="50"/>
      <c r="AJ136" s="50" t="s">
        <v>1670</v>
      </c>
      <c r="AK136" s="50" t="s">
        <v>4620</v>
      </c>
      <c r="AL136" s="408" t="s">
        <v>1636</v>
      </c>
      <c r="AM136" s="28" t="s">
        <v>4537</v>
      </c>
      <c r="AN136" s="463" t="s">
        <v>4589</v>
      </c>
      <c r="AS136" s="460">
        <v>1</v>
      </c>
    </row>
    <row r="137" spans="1:45" s="190" customFormat="1" x14ac:dyDescent="0.25">
      <c r="A137" s="398"/>
      <c r="B137" s="8"/>
      <c r="C137" s="8"/>
      <c r="D137" s="8"/>
      <c r="E137" s="8"/>
      <c r="F137" s="191"/>
      <c r="G137" s="8"/>
      <c r="H137" s="38"/>
      <c r="I137" s="15"/>
      <c r="J137" s="6"/>
      <c r="K137" s="65"/>
      <c r="L137" s="259">
        <f>SUM(K136)</f>
        <v>4979688.38</v>
      </c>
      <c r="M137" s="259"/>
      <c r="N137" s="8"/>
      <c r="O137" s="8"/>
      <c r="P137" s="6"/>
      <c r="Q137" s="6"/>
      <c r="R137" s="6"/>
      <c r="S137" s="42">
        <f>L137-S136</f>
        <v>973296.44999999972</v>
      </c>
      <c r="T137" s="42"/>
      <c r="U137" s="42"/>
      <c r="V137" s="42"/>
      <c r="W137" s="42"/>
      <c r="X137" s="42"/>
      <c r="Y137" s="42"/>
      <c r="Z137" s="42"/>
      <c r="AA137" s="42"/>
      <c r="AB137" s="42"/>
      <c r="AC137" s="42"/>
      <c r="AD137" s="42"/>
      <c r="AE137" s="42"/>
      <c r="AF137" s="42"/>
      <c r="AG137" s="189"/>
      <c r="AH137" s="189"/>
      <c r="AI137" s="189"/>
      <c r="AJ137" s="189"/>
      <c r="AK137" s="109"/>
      <c r="AL137" s="189"/>
      <c r="AM137" s="189"/>
      <c r="AN137" s="109"/>
    </row>
    <row r="138" spans="1:45" s="2" customFormat="1" ht="90" x14ac:dyDescent="0.25">
      <c r="A138" s="28">
        <v>1</v>
      </c>
      <c r="B138" s="98" t="s">
        <v>133</v>
      </c>
      <c r="C138" s="98" t="s">
        <v>46</v>
      </c>
      <c r="D138" s="98">
        <v>2722052259</v>
      </c>
      <c r="E138" s="98">
        <v>1000105100</v>
      </c>
      <c r="F138" s="420" t="s">
        <v>1302</v>
      </c>
      <c r="G138" s="98">
        <v>8000775993</v>
      </c>
      <c r="H138" s="430">
        <v>45971</v>
      </c>
      <c r="I138" s="100" t="s">
        <v>1303</v>
      </c>
      <c r="J138" s="204" t="s">
        <v>294</v>
      </c>
      <c r="K138" s="434">
        <v>12107664.98</v>
      </c>
      <c r="L138" s="434"/>
      <c r="M138" s="28" t="s">
        <v>1304</v>
      </c>
      <c r="N138" s="28" t="s">
        <v>1305</v>
      </c>
      <c r="O138" s="28"/>
      <c r="P138" s="28" t="s">
        <v>1306</v>
      </c>
      <c r="Q138" s="98" t="s">
        <v>13</v>
      </c>
      <c r="R138" s="28"/>
      <c r="S138" s="101">
        <v>0</v>
      </c>
      <c r="T138" s="101">
        <v>0</v>
      </c>
      <c r="U138" s="101">
        <v>0</v>
      </c>
      <c r="V138" s="28"/>
      <c r="W138" s="28"/>
      <c r="X138" s="28"/>
      <c r="Y138" s="28"/>
      <c r="Z138" s="28"/>
      <c r="AA138" s="28"/>
      <c r="AB138" s="28"/>
      <c r="AC138" s="28"/>
      <c r="AD138" s="400" t="s">
        <v>1305</v>
      </c>
      <c r="AE138" s="408" t="s">
        <v>1319</v>
      </c>
      <c r="AF138" s="28"/>
      <c r="AG138" s="28"/>
      <c r="AH138" s="50" t="s">
        <v>1406</v>
      </c>
      <c r="AI138" s="50" t="s">
        <v>1567</v>
      </c>
      <c r="AJ138" s="50" t="s">
        <v>1567</v>
      </c>
      <c r="AK138" s="50" t="s">
        <v>4640</v>
      </c>
      <c r="AL138" s="408" t="s">
        <v>1319</v>
      </c>
      <c r="AM138" s="28" t="s">
        <v>4538</v>
      </c>
      <c r="AN138" s="464" t="s">
        <v>4643</v>
      </c>
      <c r="AR138" s="2">
        <v>1</v>
      </c>
    </row>
    <row r="139" spans="1:45" s="190" customFormat="1" x14ac:dyDescent="0.25">
      <c r="A139" s="398"/>
      <c r="B139" s="8"/>
      <c r="C139" s="8"/>
      <c r="D139" s="8"/>
      <c r="E139" s="8"/>
      <c r="F139" s="191"/>
      <c r="G139" s="8"/>
      <c r="H139" s="38"/>
      <c r="I139" s="15"/>
      <c r="J139" s="6"/>
      <c r="K139" s="65"/>
      <c r="L139" s="259">
        <f>SUM(K138)</f>
        <v>12107664.98</v>
      </c>
      <c r="M139" s="259"/>
      <c r="N139" s="8"/>
      <c r="O139" s="8"/>
      <c r="P139" s="6"/>
      <c r="Q139" s="6"/>
      <c r="R139" s="6"/>
      <c r="S139" s="42"/>
      <c r="T139" s="42"/>
      <c r="U139" s="42"/>
      <c r="V139" s="42"/>
      <c r="W139" s="42"/>
      <c r="X139" s="42"/>
      <c r="Y139" s="42"/>
      <c r="Z139" s="42"/>
      <c r="AA139" s="42"/>
      <c r="AB139" s="42"/>
      <c r="AC139" s="42"/>
      <c r="AD139" s="42"/>
      <c r="AE139" s="42"/>
      <c r="AF139" s="42"/>
      <c r="AG139" s="189"/>
      <c r="AH139" s="189"/>
      <c r="AI139" s="189"/>
      <c r="AJ139" s="189"/>
      <c r="AK139" s="109"/>
      <c r="AL139" s="189"/>
      <c r="AM139" s="189"/>
      <c r="AN139" s="109"/>
    </row>
    <row r="140" spans="1:45" s="2" customFormat="1" ht="99" customHeight="1" x14ac:dyDescent="0.25">
      <c r="A140" s="28">
        <v>1</v>
      </c>
      <c r="B140" s="98" t="s">
        <v>101</v>
      </c>
      <c r="C140" s="98" t="s">
        <v>65</v>
      </c>
      <c r="D140" s="98" t="s">
        <v>102</v>
      </c>
      <c r="E140" s="98">
        <v>1000021026</v>
      </c>
      <c r="F140" s="420" t="s">
        <v>1307</v>
      </c>
      <c r="G140" s="98">
        <v>8000776632</v>
      </c>
      <c r="H140" s="453">
        <v>45961</v>
      </c>
      <c r="I140" s="100" t="s">
        <v>1308</v>
      </c>
      <c r="J140" s="100" t="s">
        <v>356</v>
      </c>
      <c r="K140" s="434">
        <v>9200246.6500000004</v>
      </c>
      <c r="L140" s="101"/>
      <c r="M140" s="100" t="s">
        <v>11</v>
      </c>
      <c r="N140" s="100" t="s">
        <v>1309</v>
      </c>
      <c r="O140" s="416"/>
      <c r="P140" s="98" t="s">
        <v>1310</v>
      </c>
      <c r="Q140" s="98" t="s">
        <v>13</v>
      </c>
      <c r="R140" s="98" t="s">
        <v>1311</v>
      </c>
      <c r="S140" s="101">
        <v>0</v>
      </c>
      <c r="T140" s="101">
        <v>0</v>
      </c>
      <c r="U140" s="101">
        <v>0</v>
      </c>
      <c r="V140" s="50"/>
      <c r="W140" s="50"/>
      <c r="X140" s="50"/>
      <c r="Y140" s="50"/>
      <c r="Z140" s="50"/>
      <c r="AA140" s="50" t="s">
        <v>350</v>
      </c>
      <c r="AB140" s="57" t="s">
        <v>669</v>
      </c>
      <c r="AC140" s="28"/>
      <c r="AD140" s="400" t="s">
        <v>1309</v>
      </c>
      <c r="AE140" s="408" t="s">
        <v>1316</v>
      </c>
      <c r="AF140" s="28"/>
      <c r="AG140" s="28"/>
      <c r="AH140" s="50" t="s">
        <v>1407</v>
      </c>
      <c r="AI140" s="50"/>
      <c r="AJ140" s="50"/>
      <c r="AK140" s="50" t="s">
        <v>4621</v>
      </c>
      <c r="AL140" s="408" t="s">
        <v>1316</v>
      </c>
      <c r="AM140" s="28" t="s">
        <v>4539</v>
      </c>
      <c r="AN140" s="464" t="s">
        <v>4643</v>
      </c>
      <c r="AR140" s="2">
        <v>1</v>
      </c>
    </row>
    <row r="141" spans="1:45" s="190" customFormat="1" x14ac:dyDescent="0.25">
      <c r="A141" s="398"/>
      <c r="B141" s="8"/>
      <c r="C141" s="8"/>
      <c r="D141" s="8"/>
      <c r="E141" s="8"/>
      <c r="F141" s="191"/>
      <c r="G141" s="8"/>
      <c r="H141" s="38"/>
      <c r="I141" s="15"/>
      <c r="J141" s="6"/>
      <c r="K141" s="65"/>
      <c r="L141" s="259">
        <f>K140+L140</f>
        <v>9200246.6500000004</v>
      </c>
      <c r="M141" s="259"/>
      <c r="N141" s="8"/>
      <c r="O141" s="8"/>
      <c r="P141" s="6"/>
      <c r="Q141" s="6"/>
      <c r="R141" s="6"/>
      <c r="S141" s="42"/>
      <c r="T141" s="42"/>
      <c r="U141" s="42"/>
      <c r="V141" s="42"/>
      <c r="W141" s="42"/>
      <c r="X141" s="42"/>
      <c r="Y141" s="42"/>
      <c r="Z141" s="42"/>
      <c r="AA141" s="42"/>
      <c r="AB141" s="42"/>
      <c r="AC141" s="42"/>
      <c r="AD141" s="42"/>
      <c r="AE141" s="42"/>
      <c r="AF141" s="42"/>
      <c r="AG141" s="189"/>
      <c r="AH141" s="189"/>
      <c r="AI141" s="189"/>
      <c r="AJ141" s="189"/>
      <c r="AK141" s="109"/>
      <c r="AL141" s="189"/>
      <c r="AM141" s="189"/>
      <c r="AN141" s="109"/>
    </row>
    <row r="142" spans="1:45" s="2" customFormat="1" ht="120.75" customHeight="1" x14ac:dyDescent="0.25">
      <c r="A142" s="28">
        <v>1</v>
      </c>
      <c r="B142" s="98" t="s">
        <v>979</v>
      </c>
      <c r="C142" s="98" t="s">
        <v>980</v>
      </c>
      <c r="D142" s="98">
        <v>266051733</v>
      </c>
      <c r="E142" s="98">
        <v>1000185654</v>
      </c>
      <c r="F142" s="420" t="s">
        <v>1312</v>
      </c>
      <c r="G142" s="98">
        <v>8000779459</v>
      </c>
      <c r="H142" s="99">
        <v>45978</v>
      </c>
      <c r="I142" s="100" t="s">
        <v>1313</v>
      </c>
      <c r="J142" s="100" t="s">
        <v>645</v>
      </c>
      <c r="K142" s="101">
        <v>64627200</v>
      </c>
      <c r="L142" s="101"/>
      <c r="M142" s="100" t="s">
        <v>11</v>
      </c>
      <c r="N142" s="100" t="s">
        <v>1314</v>
      </c>
      <c r="O142" s="100"/>
      <c r="P142" s="98" t="s">
        <v>1315</v>
      </c>
      <c r="Q142" s="98" t="s">
        <v>168</v>
      </c>
      <c r="R142" s="98" t="s">
        <v>54</v>
      </c>
      <c r="S142" s="101">
        <v>0</v>
      </c>
      <c r="T142" s="101">
        <v>0</v>
      </c>
      <c r="U142" s="101">
        <v>0</v>
      </c>
      <c r="V142" s="50"/>
      <c r="W142" s="50"/>
      <c r="X142" s="50"/>
      <c r="Y142" s="50"/>
      <c r="Z142" s="50"/>
      <c r="AA142" s="28"/>
      <c r="AB142" s="28" t="s">
        <v>891</v>
      </c>
      <c r="AC142" s="28"/>
      <c r="AD142" s="400" t="s">
        <v>1314</v>
      </c>
      <c r="AE142" s="408" t="s">
        <v>1316</v>
      </c>
      <c r="AF142" s="28"/>
      <c r="AG142" s="28"/>
      <c r="AH142" s="50" t="s">
        <v>1408</v>
      </c>
      <c r="AI142" s="50" t="s">
        <v>1566</v>
      </c>
      <c r="AJ142" s="50" t="s">
        <v>1566</v>
      </c>
      <c r="AK142" s="50" t="s">
        <v>4622</v>
      </c>
      <c r="AL142" s="408" t="s">
        <v>1316</v>
      </c>
      <c r="AM142" s="28" t="s">
        <v>4540</v>
      </c>
      <c r="AN142" s="401" t="s">
        <v>4692</v>
      </c>
      <c r="AQ142" s="2">
        <v>1</v>
      </c>
    </row>
    <row r="143" spans="1:45" s="190" customFormat="1" x14ac:dyDescent="0.25">
      <c r="A143" s="398"/>
      <c r="B143" s="8"/>
      <c r="C143" s="8"/>
      <c r="D143" s="8"/>
      <c r="E143" s="8"/>
      <c r="F143" s="191"/>
      <c r="G143" s="8"/>
      <c r="H143" s="38"/>
      <c r="I143" s="15"/>
      <c r="J143" s="6"/>
      <c r="K143" s="65"/>
      <c r="L143" s="259">
        <f>K142+L142</f>
        <v>64627200</v>
      </c>
      <c r="M143" s="259"/>
      <c r="N143" s="8"/>
      <c r="O143" s="8"/>
      <c r="P143" s="6"/>
      <c r="Q143" s="6"/>
      <c r="R143" s="6"/>
      <c r="S143" s="42"/>
      <c r="T143" s="42"/>
      <c r="U143" s="42"/>
      <c r="V143" s="42"/>
      <c r="W143" s="42"/>
      <c r="X143" s="42"/>
      <c r="Y143" s="42"/>
      <c r="Z143" s="42"/>
      <c r="AA143" s="42"/>
      <c r="AB143" s="42"/>
      <c r="AC143" s="42"/>
      <c r="AD143" s="42"/>
      <c r="AE143" s="42"/>
      <c r="AF143" s="42"/>
      <c r="AG143" s="189"/>
      <c r="AH143" s="189"/>
      <c r="AI143" s="189"/>
      <c r="AJ143" s="189"/>
      <c r="AK143" s="109"/>
      <c r="AL143" s="189"/>
      <c r="AM143" s="189"/>
      <c r="AN143" s="109"/>
    </row>
    <row r="144" spans="1:45" s="460" customFormat="1" ht="72" customHeight="1" x14ac:dyDescent="0.25">
      <c r="A144" s="28">
        <v>1</v>
      </c>
      <c r="B144" s="468" t="s">
        <v>788</v>
      </c>
      <c r="C144" s="468" t="s">
        <v>789</v>
      </c>
      <c r="D144" s="468">
        <v>4217198667</v>
      </c>
      <c r="E144" s="468">
        <v>1000183495</v>
      </c>
      <c r="F144" s="420" t="s">
        <v>1348</v>
      </c>
      <c r="G144" s="468">
        <v>8000785354</v>
      </c>
      <c r="H144" s="99">
        <v>45986</v>
      </c>
      <c r="I144" s="100" t="s">
        <v>1349</v>
      </c>
      <c r="J144" s="100" t="s">
        <v>357</v>
      </c>
      <c r="K144" s="101">
        <v>6193876.9100000001</v>
      </c>
      <c r="L144" s="101"/>
      <c r="M144" s="100" t="s">
        <v>1350</v>
      </c>
      <c r="N144" s="100" t="s">
        <v>1351</v>
      </c>
      <c r="O144" s="100"/>
      <c r="P144" s="468" t="s">
        <v>1352</v>
      </c>
      <c r="Q144" s="468" t="s">
        <v>168</v>
      </c>
      <c r="R144" s="468" t="s">
        <v>105</v>
      </c>
      <c r="S144" s="101">
        <v>4953356.68</v>
      </c>
      <c r="T144" s="101">
        <v>4953356.68</v>
      </c>
      <c r="U144" s="101">
        <v>3000000</v>
      </c>
      <c r="V144" s="50"/>
      <c r="W144" s="50"/>
      <c r="X144" s="50"/>
      <c r="Y144" s="50"/>
      <c r="Z144" s="50"/>
      <c r="AA144" s="28"/>
      <c r="AB144" s="28" t="s">
        <v>1353</v>
      </c>
      <c r="AC144" s="28"/>
      <c r="AD144" s="400" t="s">
        <v>1351</v>
      </c>
      <c r="AE144" s="408"/>
      <c r="AF144" s="28"/>
      <c r="AG144" s="28"/>
      <c r="AH144" s="50"/>
      <c r="AI144" s="50" t="s">
        <v>1580</v>
      </c>
      <c r="AJ144" s="50" t="s">
        <v>1669</v>
      </c>
      <c r="AK144" s="50" t="s">
        <v>4676</v>
      </c>
      <c r="AL144" s="408" t="s">
        <v>1637</v>
      </c>
      <c r="AM144" s="28" t="s">
        <v>4541</v>
      </c>
      <c r="AN144" s="462" t="s">
        <v>4642</v>
      </c>
      <c r="AP144" s="460">
        <v>1</v>
      </c>
    </row>
    <row r="145" spans="1:46" s="190" customFormat="1" x14ac:dyDescent="0.25">
      <c r="A145" s="398"/>
      <c r="B145" s="8"/>
      <c r="C145" s="8"/>
      <c r="D145" s="8"/>
      <c r="E145" s="8"/>
      <c r="F145" s="191"/>
      <c r="G145" s="8"/>
      <c r="H145" s="38"/>
      <c r="I145" s="15"/>
      <c r="J145" s="6"/>
      <c r="K145" s="65"/>
      <c r="L145" s="259">
        <f>K144+K145</f>
        <v>6193876.9100000001</v>
      </c>
      <c r="M145" s="259"/>
      <c r="N145" s="8"/>
      <c r="O145" s="8"/>
      <c r="P145" s="6"/>
      <c r="Q145" s="6"/>
      <c r="R145" s="6"/>
      <c r="S145" s="42">
        <f>L145-S144</f>
        <v>1240520.2300000004</v>
      </c>
      <c r="T145" s="42"/>
      <c r="U145" s="42"/>
      <c r="V145" s="42"/>
      <c r="W145" s="42"/>
      <c r="X145" s="42"/>
      <c r="Y145" s="42"/>
      <c r="Z145" s="42"/>
      <c r="AA145" s="42"/>
      <c r="AB145" s="42"/>
      <c r="AC145" s="42"/>
      <c r="AD145" s="42"/>
      <c r="AE145" s="42"/>
      <c r="AF145" s="42"/>
      <c r="AG145" s="189"/>
      <c r="AH145" s="189"/>
      <c r="AI145" s="189"/>
      <c r="AJ145" s="189"/>
      <c r="AK145" s="109"/>
      <c r="AL145" s="189"/>
      <c r="AM145" s="189"/>
      <c r="AN145" s="109"/>
    </row>
    <row r="146" spans="1:46" s="460" customFormat="1" ht="120" x14ac:dyDescent="0.25">
      <c r="A146" s="28">
        <v>1</v>
      </c>
      <c r="B146" s="468" t="s">
        <v>1354</v>
      </c>
      <c r="C146" s="468" t="s">
        <v>1355</v>
      </c>
      <c r="D146" s="468">
        <v>2460120942</v>
      </c>
      <c r="E146" s="468">
        <v>1000185637</v>
      </c>
      <c r="F146" s="420" t="s">
        <v>1356</v>
      </c>
      <c r="G146" s="468">
        <v>8000785355</v>
      </c>
      <c r="H146" s="99">
        <v>45988</v>
      </c>
      <c r="I146" s="100" t="s">
        <v>1357</v>
      </c>
      <c r="J146" s="100" t="s">
        <v>357</v>
      </c>
      <c r="K146" s="101">
        <v>37752006.549999997</v>
      </c>
      <c r="L146" s="101"/>
      <c r="M146" s="100" t="s">
        <v>11</v>
      </c>
      <c r="N146" s="100" t="s">
        <v>1358</v>
      </c>
      <c r="O146" s="100"/>
      <c r="P146" s="468" t="s">
        <v>1359</v>
      </c>
      <c r="Q146" s="468" t="s">
        <v>168</v>
      </c>
      <c r="R146" s="468" t="s">
        <v>88</v>
      </c>
      <c r="S146" s="101">
        <v>7500612.6900000004</v>
      </c>
      <c r="T146" s="101">
        <v>7500612.6900000004</v>
      </c>
      <c r="U146" s="101">
        <v>0</v>
      </c>
      <c r="V146" s="50"/>
      <c r="W146" s="50"/>
      <c r="X146" s="50"/>
      <c r="Y146" s="50"/>
      <c r="Z146" s="50"/>
      <c r="AA146" s="28"/>
      <c r="AB146" s="28" t="s">
        <v>1360</v>
      </c>
      <c r="AC146" s="28"/>
      <c r="AD146" s="400"/>
      <c r="AE146" s="408"/>
      <c r="AF146" s="28"/>
      <c r="AG146" s="28"/>
      <c r="AH146" s="50"/>
      <c r="AI146" s="50" t="s">
        <v>1579</v>
      </c>
      <c r="AJ146" s="50" t="s">
        <v>1669</v>
      </c>
      <c r="AK146" s="50" t="s">
        <v>4677</v>
      </c>
      <c r="AL146" s="408" t="s">
        <v>1638</v>
      </c>
      <c r="AM146" s="28" t="s">
        <v>4542</v>
      </c>
      <c r="AN146" s="462" t="s">
        <v>4642</v>
      </c>
      <c r="AP146" s="460">
        <v>1</v>
      </c>
    </row>
    <row r="147" spans="1:46" s="190" customFormat="1" x14ac:dyDescent="0.25">
      <c r="A147" s="398"/>
      <c r="B147" s="8"/>
      <c r="C147" s="8"/>
      <c r="D147" s="8"/>
      <c r="E147" s="8"/>
      <c r="F147" s="191"/>
      <c r="G147" s="8"/>
      <c r="H147" s="38"/>
      <c r="I147" s="15"/>
      <c r="J147" s="6"/>
      <c r="K147" s="65"/>
      <c r="L147" s="259">
        <f>SUM(K146:K147)</f>
        <v>37752006.549999997</v>
      </c>
      <c r="M147" s="259"/>
      <c r="N147" s="8"/>
      <c r="O147" s="8"/>
      <c r="P147" s="6"/>
      <c r="Q147" s="6"/>
      <c r="R147" s="6"/>
      <c r="S147" s="42">
        <f>L147-S146</f>
        <v>30251393.859999996</v>
      </c>
      <c r="T147" s="42"/>
      <c r="U147" s="42"/>
      <c r="V147" s="42"/>
      <c r="W147" s="42"/>
      <c r="X147" s="42"/>
      <c r="Y147" s="42"/>
      <c r="Z147" s="42"/>
      <c r="AA147" s="42"/>
      <c r="AB147" s="42"/>
      <c r="AC147" s="42"/>
      <c r="AD147" s="42"/>
      <c r="AE147" s="42"/>
      <c r="AF147" s="42"/>
      <c r="AG147" s="189"/>
      <c r="AH147" s="189"/>
      <c r="AI147" s="189"/>
      <c r="AJ147" s="189"/>
      <c r="AK147" s="109"/>
      <c r="AL147" s="189"/>
      <c r="AM147" s="189"/>
      <c r="AN147" s="109"/>
    </row>
    <row r="148" spans="1:46" s="138" customFormat="1" ht="210" x14ac:dyDescent="0.25">
      <c r="A148" s="28">
        <v>1</v>
      </c>
      <c r="B148" s="98" t="s">
        <v>14</v>
      </c>
      <c r="C148" s="98" t="s">
        <v>31</v>
      </c>
      <c r="D148" s="98">
        <v>2723161148</v>
      </c>
      <c r="E148" s="98">
        <v>1000128349</v>
      </c>
      <c r="F148" s="420" t="s">
        <v>329</v>
      </c>
      <c r="G148" s="98">
        <v>8000681846</v>
      </c>
      <c r="H148" s="99">
        <v>45603</v>
      </c>
      <c r="I148" s="100" t="s">
        <v>330</v>
      </c>
      <c r="J148" s="101" t="s">
        <v>162</v>
      </c>
      <c r="K148" s="101">
        <v>9503808.2599999998</v>
      </c>
      <c r="L148" s="100"/>
      <c r="M148" s="100" t="s">
        <v>331</v>
      </c>
      <c r="N148" s="98" t="s">
        <v>332</v>
      </c>
      <c r="O148" s="101"/>
      <c r="P148" s="50" t="s">
        <v>333</v>
      </c>
      <c r="Q148" s="50" t="s">
        <v>13</v>
      </c>
      <c r="R148" s="50" t="s">
        <v>268</v>
      </c>
      <c r="S148" s="101">
        <v>9913807.9000000004</v>
      </c>
      <c r="T148" s="101">
        <v>9913807.9000000004</v>
      </c>
      <c r="U148" s="101">
        <v>2851142.48</v>
      </c>
      <c r="V148" s="28"/>
      <c r="W148" s="28"/>
      <c r="X148" s="28"/>
      <c r="Y148" s="28"/>
      <c r="Z148" s="400"/>
      <c r="AA148" s="400"/>
      <c r="AB148" s="28"/>
      <c r="AC148" s="28"/>
      <c r="AD148" s="400" t="s">
        <v>1076</v>
      </c>
      <c r="AE148" s="28" t="s">
        <v>960</v>
      </c>
      <c r="AF148" s="28" t="s">
        <v>1134</v>
      </c>
      <c r="AG148" s="50" t="s">
        <v>960</v>
      </c>
      <c r="AH148" s="50" t="s">
        <v>1409</v>
      </c>
      <c r="AI148" s="50" t="s">
        <v>1596</v>
      </c>
      <c r="AJ148" s="50" t="s">
        <v>1668</v>
      </c>
      <c r="AK148" s="50" t="s">
        <v>4623</v>
      </c>
      <c r="AL148" s="408" t="s">
        <v>1639</v>
      </c>
      <c r="AM148" s="28" t="s">
        <v>4543</v>
      </c>
      <c r="AN148" s="467" t="s">
        <v>4656</v>
      </c>
      <c r="AT148" s="138">
        <v>1</v>
      </c>
    </row>
    <row r="149" spans="1:46" s="138" customFormat="1" ht="60" x14ac:dyDescent="0.25">
      <c r="A149" s="28"/>
      <c r="B149" s="98" t="s">
        <v>14</v>
      </c>
      <c r="C149" s="98" t="s">
        <v>31</v>
      </c>
      <c r="D149" s="98">
        <v>2723161148</v>
      </c>
      <c r="E149" s="98">
        <v>1000128349</v>
      </c>
      <c r="F149" s="420" t="s">
        <v>485</v>
      </c>
      <c r="G149" s="98">
        <v>9000537673</v>
      </c>
      <c r="H149" s="99" t="s">
        <v>486</v>
      </c>
      <c r="I149" s="100" t="s">
        <v>487</v>
      </c>
      <c r="J149" s="101" t="s">
        <v>162</v>
      </c>
      <c r="K149" s="101">
        <v>0</v>
      </c>
      <c r="L149" s="100"/>
      <c r="M149" s="100"/>
      <c r="N149" s="98" t="s">
        <v>488</v>
      </c>
      <c r="O149" s="101"/>
      <c r="P149" s="50" t="s">
        <v>489</v>
      </c>
      <c r="Q149" s="50" t="s">
        <v>168</v>
      </c>
      <c r="R149" s="50" t="s">
        <v>268</v>
      </c>
      <c r="S149" s="449"/>
      <c r="T149" s="449"/>
      <c r="U149" s="426"/>
      <c r="V149" s="28"/>
      <c r="W149" s="28"/>
      <c r="X149" s="28"/>
      <c r="Y149" s="28"/>
      <c r="Z149" s="400"/>
      <c r="AA149" s="400"/>
      <c r="AB149" s="28"/>
      <c r="AC149" s="28"/>
      <c r="AD149" s="28"/>
      <c r="AE149" s="28"/>
      <c r="AF149" s="28"/>
      <c r="AG149" s="28"/>
      <c r="AH149" s="28"/>
      <c r="AI149" s="28"/>
      <c r="AJ149" s="28"/>
      <c r="AK149" s="50"/>
      <c r="AL149" s="28"/>
      <c r="AM149" s="28"/>
      <c r="AN149" s="51"/>
    </row>
    <row r="150" spans="1:46" s="138" customFormat="1" ht="60" x14ac:dyDescent="0.25">
      <c r="A150" s="28"/>
      <c r="B150" s="98" t="s">
        <v>14</v>
      </c>
      <c r="C150" s="98" t="s">
        <v>31</v>
      </c>
      <c r="D150" s="98">
        <v>2723161148</v>
      </c>
      <c r="E150" s="98">
        <v>1000128349</v>
      </c>
      <c r="F150" s="420" t="s">
        <v>730</v>
      </c>
      <c r="G150" s="98">
        <v>9000551829</v>
      </c>
      <c r="H150" s="99">
        <v>45832</v>
      </c>
      <c r="I150" s="100" t="s">
        <v>731</v>
      </c>
      <c r="J150" s="100"/>
      <c r="K150" s="101">
        <v>979777.4</v>
      </c>
      <c r="L150" s="101"/>
      <c r="M150" s="100"/>
      <c r="N150" s="100"/>
      <c r="O150" s="100"/>
      <c r="P150" s="98" t="s">
        <v>732</v>
      </c>
      <c r="Q150" s="98" t="s">
        <v>168</v>
      </c>
      <c r="R150" s="98" t="s">
        <v>733</v>
      </c>
      <c r="S150" s="98"/>
      <c r="T150" s="100"/>
      <c r="U150" s="100"/>
      <c r="V150" s="50"/>
      <c r="W150" s="50"/>
      <c r="X150" s="50"/>
      <c r="Y150" s="50"/>
      <c r="Z150" s="50"/>
      <c r="AA150" s="28"/>
      <c r="AB150" s="28"/>
      <c r="AC150" s="28"/>
      <c r="AD150" s="28"/>
      <c r="AE150" s="28"/>
      <c r="AF150" s="28"/>
      <c r="AG150" s="28"/>
      <c r="AH150" s="28"/>
      <c r="AI150" s="28"/>
      <c r="AJ150" s="28"/>
      <c r="AK150" s="50"/>
      <c r="AL150" s="28"/>
      <c r="AM150" s="28"/>
      <c r="AN150" s="50"/>
    </row>
    <row r="151" spans="1:46" s="2" customFormat="1" ht="60" x14ac:dyDescent="0.25">
      <c r="A151" s="28"/>
      <c r="B151" s="98" t="s">
        <v>14</v>
      </c>
      <c r="C151" s="98" t="s">
        <v>31</v>
      </c>
      <c r="D151" s="98">
        <v>2723161148</v>
      </c>
      <c r="E151" s="98">
        <v>1000128349</v>
      </c>
      <c r="F151" s="420" t="s">
        <v>1366</v>
      </c>
      <c r="G151" s="98">
        <v>9000583184</v>
      </c>
      <c r="H151" s="99">
        <v>45979</v>
      </c>
      <c r="I151" s="100" t="s">
        <v>1367</v>
      </c>
      <c r="J151" s="100" t="s">
        <v>162</v>
      </c>
      <c r="K151" s="101">
        <v>819606.58</v>
      </c>
      <c r="L151" s="101"/>
      <c r="M151" s="100"/>
      <c r="N151" s="100" t="s">
        <v>1369</v>
      </c>
      <c r="O151" s="100"/>
      <c r="P151" s="98" t="s">
        <v>1359</v>
      </c>
      <c r="Q151" s="98" t="s">
        <v>816</v>
      </c>
      <c r="R151" s="98" t="s">
        <v>1368</v>
      </c>
      <c r="S151" s="98"/>
      <c r="T151" s="100"/>
      <c r="U151" s="100"/>
      <c r="V151" s="50"/>
      <c r="W151" s="50"/>
      <c r="X151" s="50"/>
      <c r="Y151" s="50"/>
      <c r="Z151" s="50"/>
      <c r="AA151" s="28"/>
      <c r="AB151" s="28"/>
      <c r="AC151" s="28"/>
      <c r="AD151" s="28"/>
      <c r="AE151" s="28"/>
      <c r="AF151" s="28"/>
      <c r="AG151" s="28"/>
      <c r="AH151" s="28"/>
      <c r="AI151" s="28"/>
      <c r="AJ151" s="28"/>
      <c r="AK151" s="50"/>
      <c r="AL151" s="28"/>
      <c r="AM151" s="28"/>
      <c r="AN151" s="50"/>
    </row>
    <row r="152" spans="1:46" s="190" customFormat="1" x14ac:dyDescent="0.25">
      <c r="A152" s="398"/>
      <c r="B152" s="8"/>
      <c r="C152" s="8"/>
      <c r="D152" s="8"/>
      <c r="E152" s="8"/>
      <c r="F152" s="191"/>
      <c r="G152" s="8"/>
      <c r="H152" s="38"/>
      <c r="I152" s="15"/>
      <c r="J152" s="6"/>
      <c r="K152" s="65"/>
      <c r="L152" s="259">
        <f>K148+K149+K150+K151</f>
        <v>11303192.24</v>
      </c>
      <c r="M152" s="259"/>
      <c r="N152" s="8"/>
      <c r="O152" s="8"/>
      <c r="P152" s="6"/>
      <c r="Q152" s="6"/>
      <c r="R152" s="6"/>
      <c r="S152" s="42">
        <f>L152-S148</f>
        <v>1389384.3399999999</v>
      </c>
      <c r="T152" s="42" t="s">
        <v>37</v>
      </c>
      <c r="U152" s="42" t="s">
        <v>37</v>
      </c>
      <c r="V152" s="42"/>
      <c r="W152" s="42"/>
      <c r="X152" s="42"/>
      <c r="Y152" s="42"/>
      <c r="Z152" s="42"/>
      <c r="AA152" s="42"/>
      <c r="AB152" s="42"/>
      <c r="AC152" s="42"/>
      <c r="AD152" s="42"/>
      <c r="AE152" s="42"/>
      <c r="AF152" s="42"/>
      <c r="AG152" s="189"/>
      <c r="AH152" s="189"/>
      <c r="AI152" s="189"/>
      <c r="AJ152" s="189"/>
      <c r="AK152" s="109"/>
      <c r="AL152" s="189"/>
      <c r="AM152" s="189"/>
      <c r="AN152" s="109"/>
    </row>
    <row r="153" spans="1:46" s="460" customFormat="1" ht="105" x14ac:dyDescent="0.25">
      <c r="A153" s="98">
        <v>1</v>
      </c>
      <c r="B153" s="98" t="s">
        <v>1217</v>
      </c>
      <c r="C153" s="98" t="s">
        <v>1218</v>
      </c>
      <c r="D153" s="98">
        <v>2464039386</v>
      </c>
      <c r="E153" s="98">
        <v>1000028454</v>
      </c>
      <c r="F153" s="420" t="s">
        <v>1475</v>
      </c>
      <c r="G153" s="98">
        <v>8000786624</v>
      </c>
      <c r="H153" s="99">
        <v>45992</v>
      </c>
      <c r="I153" s="98" t="s">
        <v>1476</v>
      </c>
      <c r="J153" s="100" t="s">
        <v>356</v>
      </c>
      <c r="K153" s="434">
        <v>14503022.24</v>
      </c>
      <c r="L153" s="98"/>
      <c r="M153" s="98" t="s">
        <v>11</v>
      </c>
      <c r="N153" s="98" t="s">
        <v>1477</v>
      </c>
      <c r="O153" s="98"/>
      <c r="P153" s="98" t="s">
        <v>1478</v>
      </c>
      <c r="Q153" s="98" t="s">
        <v>168</v>
      </c>
      <c r="R153" s="98" t="s">
        <v>894</v>
      </c>
      <c r="S153" s="101">
        <v>13017282.800000001</v>
      </c>
      <c r="T153" s="101">
        <v>13017282.800000001</v>
      </c>
      <c r="U153" s="101">
        <v>0</v>
      </c>
      <c r="V153" s="98"/>
      <c r="W153" s="98"/>
      <c r="X153" s="98"/>
      <c r="Y153" s="98"/>
      <c r="Z153" s="98"/>
      <c r="AA153" s="98"/>
      <c r="AB153" s="57" t="s">
        <v>448</v>
      </c>
      <c r="AC153" s="98"/>
      <c r="AD153" s="98"/>
      <c r="AE153" s="98"/>
      <c r="AF153" s="98"/>
      <c r="AG153" s="98"/>
      <c r="AH153" s="98"/>
      <c r="AI153" s="425"/>
      <c r="AJ153" s="425" t="s">
        <v>1698</v>
      </c>
      <c r="AK153" s="50" t="s">
        <v>4678</v>
      </c>
      <c r="AL153" s="408" t="s">
        <v>1640</v>
      </c>
      <c r="AM153" s="28" t="s">
        <v>4544</v>
      </c>
      <c r="AN153" s="462" t="s">
        <v>4642</v>
      </c>
      <c r="AP153" s="460">
        <v>1</v>
      </c>
    </row>
    <row r="154" spans="1:46" s="190" customFormat="1" x14ac:dyDescent="0.25">
      <c r="A154" s="398"/>
      <c r="B154" s="8"/>
      <c r="C154" s="8"/>
      <c r="D154" s="8"/>
      <c r="E154" s="8"/>
      <c r="F154" s="191"/>
      <c r="G154" s="8"/>
      <c r="H154" s="38"/>
      <c r="I154" s="15"/>
      <c r="J154" s="6"/>
      <c r="K154" s="65"/>
      <c r="L154" s="259">
        <f>K153+K154</f>
        <v>14503022.24</v>
      </c>
      <c r="M154" s="259"/>
      <c r="N154" s="8"/>
      <c r="O154" s="8"/>
      <c r="P154" s="6"/>
      <c r="Q154" s="6"/>
      <c r="R154" s="6"/>
      <c r="S154" s="42">
        <f>L154-S153</f>
        <v>1485739.4399999995</v>
      </c>
      <c r="T154" s="42"/>
      <c r="U154" s="42"/>
      <c r="V154" s="42"/>
      <c r="W154" s="42"/>
      <c r="X154" s="42"/>
      <c r="Y154" s="42"/>
      <c r="Z154" s="42"/>
      <c r="AA154" s="42"/>
      <c r="AB154" s="42"/>
      <c r="AC154" s="42"/>
      <c r="AD154" s="42"/>
      <c r="AE154" s="42"/>
      <c r="AF154" s="42"/>
      <c r="AG154" s="189"/>
      <c r="AH154" s="189"/>
      <c r="AI154" s="189"/>
      <c r="AJ154" s="189"/>
      <c r="AK154" s="109"/>
      <c r="AL154" s="189"/>
      <c r="AM154" s="189"/>
      <c r="AN154" s="109"/>
    </row>
    <row r="155" spans="1:46" s="2" customFormat="1" ht="105" x14ac:dyDescent="0.25">
      <c r="A155" s="28">
        <v>1</v>
      </c>
      <c r="B155" s="98" t="s">
        <v>874</v>
      </c>
      <c r="C155" s="98" t="s">
        <v>1479</v>
      </c>
      <c r="D155" s="98">
        <v>5405048560</v>
      </c>
      <c r="E155" s="98">
        <v>1000148852</v>
      </c>
      <c r="F155" s="420" t="s">
        <v>1480</v>
      </c>
      <c r="G155" s="98">
        <v>8000786612</v>
      </c>
      <c r="H155" s="99">
        <v>45987</v>
      </c>
      <c r="I155" s="100" t="s">
        <v>1481</v>
      </c>
      <c r="J155" s="100" t="s">
        <v>356</v>
      </c>
      <c r="K155" s="101">
        <v>977546.35</v>
      </c>
      <c r="L155" s="101"/>
      <c r="M155" s="98" t="s">
        <v>11</v>
      </c>
      <c r="N155" s="100" t="s">
        <v>1482</v>
      </c>
      <c r="O155" s="100"/>
      <c r="P155" s="98" t="s">
        <v>1483</v>
      </c>
      <c r="Q155" s="98" t="s">
        <v>13</v>
      </c>
      <c r="R155" s="98" t="s">
        <v>1484</v>
      </c>
      <c r="S155" s="101">
        <v>0</v>
      </c>
      <c r="T155" s="101">
        <v>0</v>
      </c>
      <c r="U155" s="101">
        <v>0</v>
      </c>
      <c r="V155" s="50"/>
      <c r="W155" s="50"/>
      <c r="X155" s="50"/>
      <c r="Y155" s="50"/>
      <c r="Z155" s="50"/>
      <c r="AA155" s="28"/>
      <c r="AB155" s="57" t="s">
        <v>882</v>
      </c>
      <c r="AC155" s="28"/>
      <c r="AD155" s="28"/>
      <c r="AE155" s="28"/>
      <c r="AF155" s="28"/>
      <c r="AG155" s="28"/>
      <c r="AH155" s="28"/>
      <c r="AI155" s="28" t="s">
        <v>1599</v>
      </c>
      <c r="AJ155" s="28" t="s">
        <v>1699</v>
      </c>
      <c r="AK155" s="50" t="s">
        <v>4624</v>
      </c>
      <c r="AL155" s="408" t="s">
        <v>1546</v>
      </c>
      <c r="AM155" s="28" t="s">
        <v>4545</v>
      </c>
      <c r="AN155" s="464" t="s">
        <v>4643</v>
      </c>
      <c r="AR155" s="2">
        <v>1</v>
      </c>
    </row>
    <row r="156" spans="1:46" s="190" customFormat="1" x14ac:dyDescent="0.25">
      <c r="A156" s="398"/>
      <c r="B156" s="8"/>
      <c r="C156" s="8"/>
      <c r="D156" s="8"/>
      <c r="E156" s="8"/>
      <c r="F156" s="191"/>
      <c r="G156" s="8"/>
      <c r="H156" s="38"/>
      <c r="I156" s="15"/>
      <c r="J156" s="6"/>
      <c r="K156" s="65"/>
      <c r="L156" s="259">
        <f>K155+L155</f>
        <v>977546.35</v>
      </c>
      <c r="M156" s="259"/>
      <c r="N156" s="8"/>
      <c r="O156" s="8"/>
      <c r="P156" s="6"/>
      <c r="Q156" s="6"/>
      <c r="R156" s="6"/>
      <c r="S156" s="42"/>
      <c r="T156" s="42"/>
      <c r="U156" s="42"/>
      <c r="V156" s="42"/>
      <c r="W156" s="42"/>
      <c r="X156" s="42"/>
      <c r="Y156" s="42"/>
      <c r="Z156" s="42"/>
      <c r="AA156" s="42"/>
      <c r="AB156" s="42"/>
      <c r="AC156" s="42"/>
      <c r="AD156" s="42"/>
      <c r="AE156" s="42"/>
      <c r="AF156" s="42"/>
      <c r="AG156" s="189"/>
      <c r="AH156" s="189"/>
      <c r="AI156" s="189"/>
      <c r="AJ156" s="189"/>
      <c r="AK156" s="109"/>
      <c r="AL156" s="189"/>
      <c r="AM156" s="189"/>
      <c r="AN156" s="109"/>
    </row>
    <row r="157" spans="1:46" s="2" customFormat="1" ht="135" x14ac:dyDescent="0.25">
      <c r="A157" s="28">
        <v>1</v>
      </c>
      <c r="B157" s="98" t="s">
        <v>1485</v>
      </c>
      <c r="C157" s="98" t="s">
        <v>1486</v>
      </c>
      <c r="D157" s="98">
        <v>2540071169</v>
      </c>
      <c r="E157" s="98">
        <v>1000157767</v>
      </c>
      <c r="F157" s="420" t="s">
        <v>1487</v>
      </c>
      <c r="G157" s="98">
        <v>8000786598</v>
      </c>
      <c r="H157" s="99">
        <v>46000</v>
      </c>
      <c r="I157" s="100" t="s">
        <v>1488</v>
      </c>
      <c r="J157" s="100" t="s">
        <v>748</v>
      </c>
      <c r="K157" s="101">
        <v>13559998.119999999</v>
      </c>
      <c r="L157" s="101"/>
      <c r="M157" s="98" t="s">
        <v>11</v>
      </c>
      <c r="N157" s="100" t="s">
        <v>1489</v>
      </c>
      <c r="O157" s="100"/>
      <c r="P157" s="98" t="s">
        <v>1490</v>
      </c>
      <c r="Q157" s="98" t="s">
        <v>13</v>
      </c>
      <c r="R157" s="98" t="s">
        <v>1491</v>
      </c>
      <c r="S157" s="101">
        <v>3341322.01</v>
      </c>
      <c r="T157" s="101">
        <v>0</v>
      </c>
      <c r="U157" s="101">
        <v>0</v>
      </c>
      <c r="V157" s="50"/>
      <c r="W157" s="50"/>
      <c r="X157" s="50"/>
      <c r="Y157" s="50"/>
      <c r="Z157" s="50"/>
      <c r="AA157" s="28"/>
      <c r="AB157" s="57" t="s">
        <v>1492</v>
      </c>
      <c r="AC157" s="28"/>
      <c r="AD157" s="28"/>
      <c r="AE157" s="28"/>
      <c r="AF157" s="28"/>
      <c r="AG157" s="28"/>
      <c r="AH157" s="28"/>
      <c r="AI157" s="28" t="s">
        <v>1565</v>
      </c>
      <c r="AJ157" s="28" t="s">
        <v>1707</v>
      </c>
      <c r="AK157" s="50" t="s">
        <v>4625</v>
      </c>
      <c r="AL157" s="408" t="s">
        <v>4547</v>
      </c>
      <c r="AM157" s="28" t="s">
        <v>4546</v>
      </c>
      <c r="AN157" s="467" t="s">
        <v>4657</v>
      </c>
      <c r="AT157" s="2">
        <v>1</v>
      </c>
    </row>
    <row r="158" spans="1:46" s="2" customFormat="1" ht="90" x14ac:dyDescent="0.25">
      <c r="A158" s="28"/>
      <c r="B158" s="98" t="s">
        <v>1485</v>
      </c>
      <c r="C158" s="98" t="s">
        <v>1486</v>
      </c>
      <c r="D158" s="98">
        <v>2540071169</v>
      </c>
      <c r="E158" s="98">
        <v>1000157767</v>
      </c>
      <c r="F158" s="420" t="s">
        <v>1641</v>
      </c>
      <c r="G158" s="98">
        <v>9000601187</v>
      </c>
      <c r="H158" s="99">
        <v>46056</v>
      </c>
      <c r="I158" s="100" t="s">
        <v>1642</v>
      </c>
      <c r="J158" s="100" t="s">
        <v>748</v>
      </c>
      <c r="K158" s="101">
        <v>0</v>
      </c>
      <c r="L158" s="101"/>
      <c r="M158" s="98" t="s">
        <v>11</v>
      </c>
      <c r="N158" s="100" t="s">
        <v>1643</v>
      </c>
      <c r="O158" s="100"/>
      <c r="P158" s="98" t="s">
        <v>1644</v>
      </c>
      <c r="Q158" s="98" t="s">
        <v>13</v>
      </c>
      <c r="R158" s="98" t="s">
        <v>1491</v>
      </c>
      <c r="S158" s="98"/>
      <c r="T158" s="100"/>
      <c r="U158" s="100"/>
      <c r="V158" s="50"/>
      <c r="W158" s="50"/>
      <c r="X158" s="50"/>
      <c r="Y158" s="50"/>
      <c r="Z158" s="50"/>
      <c r="AA158" s="28"/>
      <c r="AB158" s="57" t="s">
        <v>1492</v>
      </c>
      <c r="AC158" s="28"/>
      <c r="AD158" s="28"/>
      <c r="AE158" s="28"/>
      <c r="AF158" s="28"/>
      <c r="AG158" s="28"/>
      <c r="AH158" s="28"/>
      <c r="AI158" s="28"/>
      <c r="AJ158" s="28"/>
      <c r="AK158" s="50"/>
      <c r="AL158" s="28"/>
      <c r="AM158" s="28"/>
      <c r="AN158" s="258"/>
    </row>
    <row r="159" spans="1:46" s="190" customFormat="1" x14ac:dyDescent="0.25">
      <c r="A159" s="398"/>
      <c r="B159" s="8"/>
      <c r="C159" s="8"/>
      <c r="D159" s="8"/>
      <c r="E159" s="8"/>
      <c r="F159" s="191"/>
      <c r="G159" s="8"/>
      <c r="H159" s="38"/>
      <c r="I159" s="15"/>
      <c r="J159" s="6"/>
      <c r="K159" s="65"/>
      <c r="L159" s="259">
        <f>K157+L157</f>
        <v>13559998.119999999</v>
      </c>
      <c r="M159" s="259"/>
      <c r="N159" s="8"/>
      <c r="O159" s="8"/>
      <c r="P159" s="6"/>
      <c r="Q159" s="6"/>
      <c r="R159" s="6"/>
      <c r="S159" s="42">
        <f>L159-S157</f>
        <v>10218676.109999999</v>
      </c>
      <c r="T159" s="42"/>
      <c r="U159" s="42"/>
      <c r="V159" s="42"/>
      <c r="W159" s="42"/>
      <c r="X159" s="42"/>
      <c r="Y159" s="42"/>
      <c r="Z159" s="42"/>
      <c r="AA159" s="42"/>
      <c r="AB159" s="42"/>
      <c r="AC159" s="42"/>
      <c r="AD159" s="42"/>
      <c r="AE159" s="42"/>
      <c r="AF159" s="42"/>
      <c r="AG159" s="189"/>
      <c r="AH159" s="189"/>
      <c r="AI159" s="189"/>
      <c r="AJ159" s="189"/>
      <c r="AK159" s="109"/>
      <c r="AL159" s="189"/>
      <c r="AM159" s="189"/>
      <c r="AN159" s="109"/>
    </row>
    <row r="160" spans="1:46" s="2" customFormat="1" ht="136.5" x14ac:dyDescent="0.25">
      <c r="A160" s="28">
        <v>1</v>
      </c>
      <c r="B160" s="98" t="s">
        <v>1354</v>
      </c>
      <c r="C160" s="98" t="s">
        <v>1355</v>
      </c>
      <c r="D160" s="98">
        <v>2460120942</v>
      </c>
      <c r="E160" s="98">
        <v>1000185637</v>
      </c>
      <c r="F160" s="420" t="s">
        <v>1495</v>
      </c>
      <c r="G160" s="98">
        <v>8000792229</v>
      </c>
      <c r="H160" s="430">
        <v>46003</v>
      </c>
      <c r="I160" s="100" t="s">
        <v>1496</v>
      </c>
      <c r="J160" s="28" t="s">
        <v>356</v>
      </c>
      <c r="K160" s="454">
        <v>5345470.74</v>
      </c>
      <c r="L160" s="28"/>
      <c r="M160" s="98" t="s">
        <v>11</v>
      </c>
      <c r="N160" s="100" t="s">
        <v>1497</v>
      </c>
      <c r="O160" s="28"/>
      <c r="P160" s="98" t="s">
        <v>1498</v>
      </c>
      <c r="Q160" s="98" t="s">
        <v>13</v>
      </c>
      <c r="R160" s="98" t="s">
        <v>894</v>
      </c>
      <c r="S160" s="101">
        <v>2970522.59</v>
      </c>
      <c r="T160" s="101">
        <v>2970522.59</v>
      </c>
      <c r="U160" s="101">
        <v>0</v>
      </c>
      <c r="V160" s="28"/>
      <c r="W160" s="28"/>
      <c r="X160" s="28"/>
      <c r="Y160" s="28"/>
      <c r="Z160" s="28"/>
      <c r="AA160" s="28"/>
      <c r="AB160" s="57" t="s">
        <v>1360</v>
      </c>
      <c r="AC160" s="28"/>
      <c r="AD160" s="28"/>
      <c r="AE160" s="28"/>
      <c r="AF160" s="28"/>
      <c r="AG160" s="28"/>
      <c r="AH160" s="28"/>
      <c r="AI160" s="28" t="s">
        <v>1578</v>
      </c>
      <c r="AJ160" s="28" t="s">
        <v>1700</v>
      </c>
      <c r="AK160" s="50" t="s">
        <v>4679</v>
      </c>
      <c r="AL160" s="408" t="s">
        <v>1645</v>
      </c>
      <c r="AM160" s="28" t="s">
        <v>4548</v>
      </c>
      <c r="AN160" s="462" t="s">
        <v>4642</v>
      </c>
      <c r="AP160" s="2">
        <v>1</v>
      </c>
    </row>
    <row r="161" spans="1:42" s="190" customFormat="1" x14ac:dyDescent="0.25">
      <c r="A161" s="398"/>
      <c r="B161" s="8"/>
      <c r="C161" s="8"/>
      <c r="D161" s="8"/>
      <c r="E161" s="8"/>
      <c r="F161" s="191"/>
      <c r="G161" s="8"/>
      <c r="H161" s="38"/>
      <c r="I161" s="15"/>
      <c r="J161" s="6"/>
      <c r="K161" s="65"/>
      <c r="L161" s="259">
        <f>K160+K161</f>
        <v>5345470.74</v>
      </c>
      <c r="M161" s="259"/>
      <c r="N161" s="8"/>
      <c r="O161" s="8"/>
      <c r="P161" s="6"/>
      <c r="Q161" s="6"/>
      <c r="R161" s="6"/>
      <c r="S161" s="42">
        <f>L161-S160</f>
        <v>2374948.1500000004</v>
      </c>
      <c r="T161" s="42"/>
      <c r="U161" s="42"/>
      <c r="V161" s="42"/>
      <c r="W161" s="42"/>
      <c r="X161" s="42"/>
      <c r="Y161" s="42"/>
      <c r="Z161" s="42"/>
      <c r="AA161" s="42"/>
      <c r="AB161" s="42"/>
      <c r="AC161" s="42"/>
      <c r="AD161" s="42"/>
      <c r="AE161" s="42"/>
      <c r="AF161" s="42"/>
      <c r="AG161" s="189"/>
      <c r="AH161" s="189"/>
      <c r="AI161" s="189"/>
      <c r="AJ161" s="189"/>
      <c r="AK161" s="109"/>
      <c r="AL161" s="189"/>
      <c r="AM161" s="189"/>
      <c r="AN161" s="109"/>
    </row>
    <row r="162" spans="1:42" s="460" customFormat="1" ht="105" x14ac:dyDescent="0.25">
      <c r="A162" s="98">
        <v>1</v>
      </c>
      <c r="B162" s="98" t="s">
        <v>1499</v>
      </c>
      <c r="C162" s="98" t="s">
        <v>1500</v>
      </c>
      <c r="D162" s="98">
        <v>5038057975</v>
      </c>
      <c r="E162" s="98">
        <v>1000123207</v>
      </c>
      <c r="F162" s="420" t="s">
        <v>1501</v>
      </c>
      <c r="G162" s="98">
        <v>8000789847</v>
      </c>
      <c r="H162" s="99">
        <v>46006</v>
      </c>
      <c r="I162" s="98" t="s">
        <v>1502</v>
      </c>
      <c r="J162" s="98" t="s">
        <v>1503</v>
      </c>
      <c r="K162" s="434">
        <v>5541600</v>
      </c>
      <c r="L162" s="98"/>
      <c r="M162" s="427" t="s">
        <v>1504</v>
      </c>
      <c r="N162" s="100" t="s">
        <v>1505</v>
      </c>
      <c r="O162" s="98"/>
      <c r="P162" s="98" t="s">
        <v>1506</v>
      </c>
      <c r="Q162" s="98" t="s">
        <v>13</v>
      </c>
      <c r="R162" s="98" t="s">
        <v>54</v>
      </c>
      <c r="S162" s="101">
        <v>4226904.2300000004</v>
      </c>
      <c r="T162" s="101">
        <v>4226904.2300000004</v>
      </c>
      <c r="U162" s="101">
        <v>1000000</v>
      </c>
      <c r="V162" s="98"/>
      <c r="W162" s="98"/>
      <c r="X162" s="98"/>
      <c r="Y162" s="98"/>
      <c r="Z162" s="98"/>
      <c r="AA162" s="98"/>
      <c r="AB162" s="455" t="s">
        <v>1507</v>
      </c>
      <c r="AC162" s="98"/>
      <c r="AD162" s="98"/>
      <c r="AE162" s="98"/>
      <c r="AF162" s="98"/>
      <c r="AG162" s="98"/>
      <c r="AH162" s="98"/>
      <c r="AI162" s="98"/>
      <c r="AJ162" s="28" t="s">
        <v>1667</v>
      </c>
      <c r="AK162" s="50" t="s">
        <v>4680</v>
      </c>
      <c r="AL162" s="408" t="s">
        <v>1646</v>
      </c>
      <c r="AM162" s="28" t="s">
        <v>4549</v>
      </c>
      <c r="AN162" s="462" t="s">
        <v>4642</v>
      </c>
      <c r="AP162" s="460">
        <v>1</v>
      </c>
    </row>
    <row r="163" spans="1:42" s="190" customFormat="1" x14ac:dyDescent="0.25">
      <c r="A163" s="398"/>
      <c r="B163" s="8"/>
      <c r="C163" s="8"/>
      <c r="D163" s="8"/>
      <c r="E163" s="8"/>
      <c r="F163" s="191"/>
      <c r="G163" s="8"/>
      <c r="H163" s="38"/>
      <c r="I163" s="15"/>
      <c r="J163" s="6"/>
      <c r="K163" s="65"/>
      <c r="L163" s="259">
        <f>K162+K163</f>
        <v>5541600</v>
      </c>
      <c r="M163" s="259"/>
      <c r="N163" s="8"/>
      <c r="O163" s="8"/>
      <c r="P163" s="6"/>
      <c r="Q163" s="6"/>
      <c r="R163" s="6"/>
      <c r="S163" s="42">
        <f>L163-S162</f>
        <v>1314695.7699999996</v>
      </c>
      <c r="T163" s="42"/>
      <c r="U163" s="42"/>
      <c r="V163" s="42"/>
      <c r="W163" s="42"/>
      <c r="X163" s="42"/>
      <c r="Y163" s="42"/>
      <c r="Z163" s="42"/>
      <c r="AA163" s="42"/>
      <c r="AB163" s="42"/>
      <c r="AC163" s="42"/>
      <c r="AD163" s="42"/>
      <c r="AE163" s="42"/>
      <c r="AF163" s="42"/>
      <c r="AG163" s="189"/>
      <c r="AH163" s="189"/>
      <c r="AI163" s="189"/>
      <c r="AJ163" s="189"/>
      <c r="AK163" s="109"/>
      <c r="AL163" s="189"/>
      <c r="AM163" s="189"/>
      <c r="AN163" s="109"/>
    </row>
    <row r="164" spans="1:42" s="2" customFormat="1" ht="120" x14ac:dyDescent="0.25">
      <c r="A164" s="28">
        <v>1</v>
      </c>
      <c r="B164" s="98" t="s">
        <v>308</v>
      </c>
      <c r="C164" s="98" t="s">
        <v>1508</v>
      </c>
      <c r="D164" s="98">
        <v>2453012311</v>
      </c>
      <c r="E164" s="98">
        <v>1000094590</v>
      </c>
      <c r="F164" s="420" t="s">
        <v>1509</v>
      </c>
      <c r="G164" s="98">
        <v>8000794340</v>
      </c>
      <c r="H164" s="430">
        <v>46010</v>
      </c>
      <c r="I164" s="100" t="s">
        <v>1510</v>
      </c>
      <c r="J164" s="100" t="s">
        <v>356</v>
      </c>
      <c r="K164" s="454">
        <v>12659681.859999999</v>
      </c>
      <c r="L164" s="28"/>
      <c r="M164" s="98" t="s">
        <v>11</v>
      </c>
      <c r="N164" s="100" t="s">
        <v>1511</v>
      </c>
      <c r="O164" s="28"/>
      <c r="P164" s="98" t="s">
        <v>1512</v>
      </c>
      <c r="Q164" s="98" t="s">
        <v>13</v>
      </c>
      <c r="R164" s="98" t="s">
        <v>1513</v>
      </c>
      <c r="S164" s="101">
        <v>8389962.6799999997</v>
      </c>
      <c r="T164" s="101">
        <v>8389962.6799999997</v>
      </c>
      <c r="U164" s="101">
        <v>0</v>
      </c>
      <c r="V164" s="28"/>
      <c r="W164" s="28"/>
      <c r="X164" s="28"/>
      <c r="Y164" s="28"/>
      <c r="Z164" s="28"/>
      <c r="AA164" s="28"/>
      <c r="AB164" s="98" t="s">
        <v>240</v>
      </c>
      <c r="AC164" s="28"/>
      <c r="AD164" s="28"/>
      <c r="AE164" s="28"/>
      <c r="AF164" s="28"/>
      <c r="AG164" s="28"/>
      <c r="AH164" s="28"/>
      <c r="AI164" s="28"/>
      <c r="AJ164" s="28" t="s">
        <v>1701</v>
      </c>
      <c r="AK164" s="50" t="s">
        <v>4681</v>
      </c>
      <c r="AL164" s="408" t="s">
        <v>1647</v>
      </c>
      <c r="AM164" s="28" t="s">
        <v>4550</v>
      </c>
      <c r="AN164" s="462" t="s">
        <v>4642</v>
      </c>
      <c r="AP164" s="2">
        <v>1</v>
      </c>
    </row>
    <row r="165" spans="1:42" s="190" customFormat="1" x14ac:dyDescent="0.25">
      <c r="A165" s="398"/>
      <c r="B165" s="8"/>
      <c r="C165" s="8"/>
      <c r="D165" s="8"/>
      <c r="E165" s="8"/>
      <c r="F165" s="191"/>
      <c r="G165" s="8"/>
      <c r="H165" s="38"/>
      <c r="I165" s="15"/>
      <c r="J165" s="6"/>
      <c r="K165" s="65"/>
      <c r="L165" s="259">
        <f>SUM(K164:K165)</f>
        <v>12659681.859999999</v>
      </c>
      <c r="M165" s="259"/>
      <c r="N165" s="8"/>
      <c r="O165" s="8"/>
      <c r="P165" s="6"/>
      <c r="Q165" s="6"/>
      <c r="R165" s="6"/>
      <c r="S165" s="42">
        <f>L165-S164</f>
        <v>4269719.18</v>
      </c>
      <c r="T165" s="42"/>
      <c r="U165" s="42"/>
      <c r="V165" s="42"/>
      <c r="W165" s="42"/>
      <c r="X165" s="42"/>
      <c r="Y165" s="42"/>
      <c r="Z165" s="42"/>
      <c r="AA165" s="42"/>
      <c r="AB165" s="42"/>
      <c r="AC165" s="42"/>
      <c r="AD165" s="42"/>
      <c r="AE165" s="42"/>
      <c r="AF165" s="42"/>
      <c r="AG165" s="189"/>
      <c r="AH165" s="189"/>
      <c r="AI165" s="189"/>
      <c r="AJ165" s="189"/>
      <c r="AK165" s="109"/>
      <c r="AL165" s="189"/>
      <c r="AM165" s="189"/>
      <c r="AN165" s="109"/>
    </row>
    <row r="166" spans="1:42" s="2" customFormat="1" ht="105" x14ac:dyDescent="0.25">
      <c r="A166" s="28">
        <v>1</v>
      </c>
      <c r="B166" s="98" t="s">
        <v>134</v>
      </c>
      <c r="C166" s="98" t="s">
        <v>1493</v>
      </c>
      <c r="D166" s="98">
        <v>2464039386</v>
      </c>
      <c r="E166" s="98">
        <v>1000028454</v>
      </c>
      <c r="F166" s="420" t="s">
        <v>1514</v>
      </c>
      <c r="G166" s="98">
        <v>8000786096</v>
      </c>
      <c r="H166" s="430">
        <v>46015</v>
      </c>
      <c r="I166" s="428" t="s">
        <v>1515</v>
      </c>
      <c r="J166" s="204" t="s">
        <v>356</v>
      </c>
      <c r="K166" s="28">
        <v>22072679.77</v>
      </c>
      <c r="L166" s="28"/>
      <c r="M166" s="98" t="s">
        <v>11</v>
      </c>
      <c r="N166" s="100" t="s">
        <v>1516</v>
      </c>
      <c r="O166" s="28"/>
      <c r="P166" s="28" t="s">
        <v>1517</v>
      </c>
      <c r="Q166" s="98" t="s">
        <v>13</v>
      </c>
      <c r="R166" s="98" t="s">
        <v>1513</v>
      </c>
      <c r="S166" s="101">
        <v>18731461.449999999</v>
      </c>
      <c r="T166" s="101">
        <v>18731461.449999999</v>
      </c>
      <c r="U166" s="101">
        <v>0</v>
      </c>
      <c r="V166" s="28"/>
      <c r="W166" s="28"/>
      <c r="X166" s="28"/>
      <c r="Y166" s="28"/>
      <c r="Z166" s="28"/>
      <c r="AA166" s="28"/>
      <c r="AB166" s="57" t="s">
        <v>1494</v>
      </c>
      <c r="AC166" s="28"/>
      <c r="AD166" s="28"/>
      <c r="AE166" s="28"/>
      <c r="AF166" s="28"/>
      <c r="AG166" s="28"/>
      <c r="AH166" s="28"/>
      <c r="AI166" s="28"/>
      <c r="AJ166" s="28"/>
      <c r="AK166" s="425" t="s">
        <v>4682</v>
      </c>
      <c r="AL166" s="408" t="s">
        <v>1648</v>
      </c>
      <c r="AM166" s="28" t="s">
        <v>4551</v>
      </c>
      <c r="AN166" s="462" t="s">
        <v>4642</v>
      </c>
      <c r="AP166" s="2">
        <v>1</v>
      </c>
    </row>
    <row r="167" spans="1:42" s="190" customFormat="1" x14ac:dyDescent="0.25">
      <c r="A167" s="398"/>
      <c r="B167" s="8"/>
      <c r="C167" s="8"/>
      <c r="D167" s="8"/>
      <c r="E167" s="8"/>
      <c r="F167" s="191"/>
      <c r="G167" s="8"/>
      <c r="H167" s="38"/>
      <c r="I167" s="15"/>
      <c r="J167" s="6"/>
      <c r="K167" s="65"/>
      <c r="L167" s="259">
        <f>SUM(K166)</f>
        <v>22072679.77</v>
      </c>
      <c r="M167" s="259"/>
      <c r="N167" s="8"/>
      <c r="O167" s="8"/>
      <c r="P167" s="6"/>
      <c r="Q167" s="6"/>
      <c r="R167" s="6"/>
      <c r="S167" s="42">
        <f>L167-S166</f>
        <v>3341218.3200000003</v>
      </c>
      <c r="T167" s="42"/>
      <c r="U167" s="42"/>
      <c r="V167" s="42"/>
      <c r="W167" s="42"/>
      <c r="X167" s="42"/>
      <c r="Y167" s="42"/>
      <c r="Z167" s="42"/>
      <c r="AA167" s="42"/>
      <c r="AB167" s="42"/>
      <c r="AC167" s="42"/>
      <c r="AD167" s="42"/>
      <c r="AE167" s="42"/>
      <c r="AF167" s="42"/>
      <c r="AG167" s="189"/>
      <c r="AH167" s="189"/>
      <c r="AI167" s="189"/>
      <c r="AJ167" s="189"/>
      <c r="AK167" s="109"/>
      <c r="AL167" s="189"/>
      <c r="AM167" s="189"/>
      <c r="AN167" s="109"/>
    </row>
    <row r="168" spans="1:42" s="2" customFormat="1" ht="104.25" customHeight="1" x14ac:dyDescent="0.25">
      <c r="A168" s="28">
        <v>1</v>
      </c>
      <c r="B168" s="98" t="s">
        <v>101</v>
      </c>
      <c r="C168" s="98" t="s">
        <v>65</v>
      </c>
      <c r="D168" s="98" t="s">
        <v>102</v>
      </c>
      <c r="E168" s="98">
        <v>1000021026</v>
      </c>
      <c r="F168" s="420" t="s">
        <v>1601</v>
      </c>
      <c r="G168" s="98">
        <v>8000798811</v>
      </c>
      <c r="H168" s="453">
        <v>46011</v>
      </c>
      <c r="I168" s="100" t="s">
        <v>1602</v>
      </c>
      <c r="J168" s="204" t="s">
        <v>357</v>
      </c>
      <c r="K168" s="434">
        <v>5152320</v>
      </c>
      <c r="L168" s="101"/>
      <c r="M168" s="98" t="s">
        <v>11</v>
      </c>
      <c r="N168" s="100" t="s">
        <v>1603</v>
      </c>
      <c r="O168" s="416"/>
      <c r="P168" s="98" t="s">
        <v>1604</v>
      </c>
      <c r="Q168" s="98" t="s">
        <v>816</v>
      </c>
      <c r="R168" s="98" t="s">
        <v>1187</v>
      </c>
      <c r="S168" s="101">
        <v>4004562</v>
      </c>
      <c r="T168" s="101">
        <v>4004562</v>
      </c>
      <c r="U168" s="101">
        <v>0</v>
      </c>
      <c r="V168" s="50"/>
      <c r="W168" s="50"/>
      <c r="X168" s="50"/>
      <c r="Y168" s="50"/>
      <c r="Z168" s="50"/>
      <c r="AA168" s="50" t="s">
        <v>350</v>
      </c>
      <c r="AB168" s="57" t="s">
        <v>669</v>
      </c>
      <c r="AC168" s="204"/>
      <c r="AD168" s="28"/>
      <c r="AE168" s="28"/>
      <c r="AF168" s="28"/>
      <c r="AG168" s="28"/>
      <c r="AH168" s="28"/>
      <c r="AI168" s="28"/>
      <c r="AJ168" s="28" t="s">
        <v>1667</v>
      </c>
      <c r="AK168" s="50" t="s">
        <v>4683</v>
      </c>
      <c r="AL168" s="408" t="s">
        <v>1649</v>
      </c>
      <c r="AM168" s="28" t="s">
        <v>4552</v>
      </c>
      <c r="AN168" s="462" t="s">
        <v>4642</v>
      </c>
      <c r="AP168" s="2">
        <v>1</v>
      </c>
    </row>
    <row r="169" spans="1:42" s="190" customFormat="1" x14ac:dyDescent="0.25">
      <c r="A169" s="398"/>
      <c r="B169" s="8"/>
      <c r="C169" s="8"/>
      <c r="D169" s="8"/>
      <c r="E169" s="8"/>
      <c r="F169" s="191"/>
      <c r="G169" s="8"/>
      <c r="H169" s="38"/>
      <c r="I169" s="15"/>
      <c r="J169" s="6"/>
      <c r="K169" s="65"/>
      <c r="L169" s="259">
        <f>K168+L168</f>
        <v>5152320</v>
      </c>
      <c r="M169" s="259"/>
      <c r="N169" s="8"/>
      <c r="O169" s="8"/>
      <c r="P169" s="6"/>
      <c r="Q169" s="6"/>
      <c r="R169" s="6"/>
      <c r="S169" s="42">
        <f>L169-S168</f>
        <v>1147758</v>
      </c>
      <c r="T169" s="42"/>
      <c r="U169" s="42"/>
      <c r="V169" s="42"/>
      <c r="W169" s="42"/>
      <c r="X169" s="42"/>
      <c r="Y169" s="42"/>
      <c r="Z169" s="42"/>
      <c r="AA169" s="42"/>
      <c r="AB169" s="42"/>
      <c r="AC169" s="42"/>
      <c r="AD169" s="42"/>
      <c r="AE169" s="42"/>
      <c r="AF169" s="42"/>
      <c r="AG169" s="189"/>
      <c r="AH169" s="189"/>
      <c r="AI169" s="189"/>
      <c r="AJ169" s="189"/>
      <c r="AK169" s="109"/>
      <c r="AL169" s="189"/>
      <c r="AM169" s="189"/>
      <c r="AN169" s="109"/>
    </row>
    <row r="170" spans="1:42" s="160" customFormat="1" ht="105.75" customHeight="1" x14ac:dyDescent="0.25">
      <c r="A170" s="456">
        <v>1</v>
      </c>
      <c r="B170" s="98" t="s">
        <v>308</v>
      </c>
      <c r="C170" s="441" t="s">
        <v>309</v>
      </c>
      <c r="D170" s="98">
        <v>2453012311</v>
      </c>
      <c r="E170" s="98">
        <v>1000094590</v>
      </c>
      <c r="F170" s="442" t="s">
        <v>472</v>
      </c>
      <c r="G170" s="443">
        <v>8000726497</v>
      </c>
      <c r="H170" s="99">
        <v>45765</v>
      </c>
      <c r="I170" s="104" t="s">
        <v>473</v>
      </c>
      <c r="J170" s="104" t="s">
        <v>356</v>
      </c>
      <c r="K170" s="202">
        <v>45043575.649999999</v>
      </c>
      <c r="L170" s="105">
        <v>22521787.82</v>
      </c>
      <c r="M170" s="104" t="s">
        <v>11</v>
      </c>
      <c r="N170" s="104" t="s">
        <v>474</v>
      </c>
      <c r="O170" s="203"/>
      <c r="P170" s="104" t="s">
        <v>475</v>
      </c>
      <c r="Q170" s="98" t="s">
        <v>168</v>
      </c>
      <c r="R170" s="98" t="s">
        <v>476</v>
      </c>
      <c r="S170" s="429">
        <v>20094325.02</v>
      </c>
      <c r="T170" s="429">
        <v>20094325.02</v>
      </c>
      <c r="U170" s="429">
        <v>0</v>
      </c>
      <c r="V170" s="457"/>
      <c r="W170" s="457"/>
      <c r="X170" s="457"/>
      <c r="Y170" s="50"/>
      <c r="Z170" s="430"/>
      <c r="AA170" s="430"/>
      <c r="AB170" s="458" t="s">
        <v>240</v>
      </c>
      <c r="AC170" s="458"/>
      <c r="AD170" s="28"/>
      <c r="AE170" s="28"/>
      <c r="AF170" s="431" t="s">
        <v>1032</v>
      </c>
      <c r="AG170" s="431"/>
      <c r="AH170" s="28" t="s">
        <v>1051</v>
      </c>
      <c r="AI170" s="28" t="s">
        <v>1150</v>
      </c>
      <c r="AJ170" s="28" t="s">
        <v>1651</v>
      </c>
      <c r="AK170" s="425" t="s">
        <v>4684</v>
      </c>
      <c r="AL170" s="400" t="s">
        <v>1656</v>
      </c>
      <c r="AM170" s="28" t="s">
        <v>4581</v>
      </c>
      <c r="AN170" s="462" t="s">
        <v>4642</v>
      </c>
      <c r="AP170" s="160">
        <v>1</v>
      </c>
    </row>
    <row r="171" spans="1:42" s="160" customFormat="1" ht="76.5" customHeight="1" x14ac:dyDescent="0.25">
      <c r="A171" s="456"/>
      <c r="B171" s="98" t="s">
        <v>308</v>
      </c>
      <c r="C171" s="441" t="s">
        <v>309</v>
      </c>
      <c r="D171" s="98">
        <v>2453012311</v>
      </c>
      <c r="E171" s="98">
        <v>1000094590</v>
      </c>
      <c r="F171" s="442" t="s">
        <v>821</v>
      </c>
      <c r="G171" s="443">
        <v>9000561669</v>
      </c>
      <c r="H171" s="99">
        <v>45894</v>
      </c>
      <c r="I171" s="104" t="s">
        <v>108</v>
      </c>
      <c r="J171" s="104" t="s">
        <v>356</v>
      </c>
      <c r="K171" s="202">
        <v>452786.88</v>
      </c>
      <c r="L171" s="105"/>
      <c r="M171" s="104" t="s">
        <v>11</v>
      </c>
      <c r="N171" s="104"/>
      <c r="O171" s="203"/>
      <c r="P171" s="104" t="s">
        <v>822</v>
      </c>
      <c r="Q171" s="98" t="s">
        <v>13</v>
      </c>
      <c r="R171" s="98" t="s">
        <v>823</v>
      </c>
      <c r="S171" s="101"/>
      <c r="T171" s="101"/>
      <c r="U171" s="101"/>
      <c r="V171" s="457"/>
      <c r="W171" s="457"/>
      <c r="X171" s="457"/>
      <c r="Y171" s="50"/>
      <c r="Z171" s="430"/>
      <c r="AA171" s="430"/>
      <c r="AB171" s="458" t="s">
        <v>240</v>
      </c>
      <c r="AC171" s="458"/>
      <c r="AD171" s="28"/>
      <c r="AE171" s="28"/>
      <c r="AF171" s="431"/>
      <c r="AG171" s="431"/>
      <c r="AH171" s="458"/>
      <c r="AI171" s="28"/>
      <c r="AJ171" s="28"/>
      <c r="AK171" s="425"/>
      <c r="AL171" s="400"/>
      <c r="AM171" s="28"/>
      <c r="AN171" s="465"/>
    </row>
    <row r="172" spans="1:42" s="190" customFormat="1" x14ac:dyDescent="0.25">
      <c r="A172" s="398"/>
      <c r="B172" s="8"/>
      <c r="C172" s="8"/>
      <c r="D172" s="8"/>
      <c r="E172" s="8"/>
      <c r="F172" s="191"/>
      <c r="G172" s="8"/>
      <c r="H172" s="38"/>
      <c r="I172" s="15"/>
      <c r="J172" s="6"/>
      <c r="K172" s="65"/>
      <c r="L172" s="259">
        <f>K170-L170+K171</f>
        <v>22974574.709999997</v>
      </c>
      <c r="M172" s="259"/>
      <c r="N172" s="8"/>
      <c r="O172" s="8"/>
      <c r="P172" s="6"/>
      <c r="Q172" s="6"/>
      <c r="R172" s="6"/>
      <c r="S172" s="42">
        <f>L172-S170</f>
        <v>2880249.6899999976</v>
      </c>
      <c r="T172" s="42"/>
      <c r="U172" s="42"/>
      <c r="V172" s="42"/>
      <c r="W172" s="42"/>
      <c r="X172" s="42"/>
      <c r="Y172" s="42"/>
      <c r="Z172" s="42"/>
      <c r="AA172" s="42"/>
      <c r="AB172" s="42"/>
      <c r="AC172" s="42"/>
      <c r="AD172" s="42"/>
      <c r="AE172" s="42"/>
      <c r="AF172" s="42"/>
      <c r="AG172" s="189"/>
      <c r="AH172" s="189"/>
      <c r="AI172" s="189"/>
      <c r="AJ172" s="189"/>
      <c r="AK172" s="109"/>
      <c r="AL172" s="189"/>
      <c r="AM172" s="189"/>
      <c r="AN172" s="109"/>
    </row>
    <row r="173" spans="1:42" s="160" customFormat="1" ht="135" customHeight="1" x14ac:dyDescent="0.25">
      <c r="A173" s="456">
        <v>1</v>
      </c>
      <c r="B173" s="98" t="s">
        <v>441</v>
      </c>
      <c r="C173" s="441" t="s">
        <v>442</v>
      </c>
      <c r="D173" s="98">
        <v>2464039386</v>
      </c>
      <c r="E173" s="98">
        <v>1000028454</v>
      </c>
      <c r="F173" s="442" t="s">
        <v>443</v>
      </c>
      <c r="G173" s="443">
        <v>8000708496</v>
      </c>
      <c r="H173" s="99">
        <v>45733</v>
      </c>
      <c r="I173" s="104" t="s">
        <v>444</v>
      </c>
      <c r="J173" s="104" t="s">
        <v>357</v>
      </c>
      <c r="K173" s="202">
        <v>276840094.85000002</v>
      </c>
      <c r="L173" s="105"/>
      <c r="M173" s="104" t="s">
        <v>445</v>
      </c>
      <c r="N173" s="104" t="s">
        <v>446</v>
      </c>
      <c r="O173" s="203"/>
      <c r="P173" s="104" t="s">
        <v>447</v>
      </c>
      <c r="Q173" s="98" t="s">
        <v>168</v>
      </c>
      <c r="R173" s="100" t="s">
        <v>4583</v>
      </c>
      <c r="S173" s="429">
        <v>275935633.75999999</v>
      </c>
      <c r="T173" s="429">
        <v>275935633.75999999</v>
      </c>
      <c r="U173" s="429">
        <v>55368018.969999999</v>
      </c>
      <c r="V173" s="457"/>
      <c r="W173" s="457"/>
      <c r="X173" s="457"/>
      <c r="Y173" s="50"/>
      <c r="Z173" s="430"/>
      <c r="AA173" s="430"/>
      <c r="AB173" s="458" t="s">
        <v>448</v>
      </c>
      <c r="AC173" s="458"/>
      <c r="AD173" s="28"/>
      <c r="AE173" s="28"/>
      <c r="AF173" s="400" t="s">
        <v>1547</v>
      </c>
      <c r="AG173" s="431" t="s">
        <v>740</v>
      </c>
      <c r="AH173" s="28" t="s">
        <v>1049</v>
      </c>
      <c r="AI173" s="28" t="s">
        <v>1160</v>
      </c>
      <c r="AJ173" s="28"/>
      <c r="AK173" s="50" t="s">
        <v>4685</v>
      </c>
      <c r="AL173" s="400" t="s">
        <v>1657</v>
      </c>
      <c r="AM173" s="28" t="s">
        <v>4553</v>
      </c>
      <c r="AN173" s="462" t="s">
        <v>4642</v>
      </c>
      <c r="AP173" s="160">
        <v>1</v>
      </c>
    </row>
    <row r="174" spans="1:42" s="190" customFormat="1" x14ac:dyDescent="0.25">
      <c r="A174" s="398"/>
      <c r="B174" s="8"/>
      <c r="C174" s="8"/>
      <c r="D174" s="8"/>
      <c r="E174" s="8"/>
      <c r="F174" s="191"/>
      <c r="G174" s="8"/>
      <c r="H174" s="38"/>
      <c r="I174" s="15"/>
      <c r="J174" s="6"/>
      <c r="K174" s="65"/>
      <c r="L174" s="259">
        <v>276840094.85000002</v>
      </c>
      <c r="M174" s="259"/>
      <c r="N174" s="8"/>
      <c r="O174" s="8"/>
      <c r="P174" s="6"/>
      <c r="Q174" s="6"/>
      <c r="R174" s="6"/>
      <c r="S174" s="42">
        <f>L174-S173</f>
        <v>904461.09000003338</v>
      </c>
      <c r="T174" s="42"/>
      <c r="U174" s="42"/>
      <c r="V174" s="42"/>
      <c r="W174" s="42"/>
      <c r="X174" s="42"/>
      <c r="Y174" s="42"/>
      <c r="Z174" s="42"/>
      <c r="AA174" s="42"/>
      <c r="AB174" s="42"/>
      <c r="AC174" s="42"/>
      <c r="AD174" s="42"/>
      <c r="AE174" s="42"/>
      <c r="AF174" s="42"/>
      <c r="AG174" s="189"/>
      <c r="AH174" s="189"/>
      <c r="AI174" s="189"/>
      <c r="AJ174" s="189"/>
      <c r="AK174" s="109"/>
      <c r="AL174" s="189"/>
      <c r="AM174" s="189"/>
      <c r="AN174" s="109"/>
    </row>
    <row r="175" spans="1:42" s="160" customFormat="1" ht="135" customHeight="1" x14ac:dyDescent="0.25">
      <c r="A175" s="456">
        <v>1</v>
      </c>
      <c r="B175" s="98" t="s">
        <v>75</v>
      </c>
      <c r="C175" s="441" t="s">
        <v>74</v>
      </c>
      <c r="D175" s="98">
        <v>2725059439</v>
      </c>
      <c r="E175" s="98">
        <v>1000114970</v>
      </c>
      <c r="F175" s="442" t="s">
        <v>453</v>
      </c>
      <c r="G175" s="443">
        <v>8000725420</v>
      </c>
      <c r="H175" s="99">
        <v>45743</v>
      </c>
      <c r="I175" s="104" t="s">
        <v>454</v>
      </c>
      <c r="J175" s="104" t="s">
        <v>357</v>
      </c>
      <c r="K175" s="202">
        <v>21204178.800000001</v>
      </c>
      <c r="L175" s="105"/>
      <c r="M175" s="104" t="s">
        <v>11</v>
      </c>
      <c r="N175" s="104" t="s">
        <v>610</v>
      </c>
      <c r="O175" s="203"/>
      <c r="P175" s="104" t="s">
        <v>455</v>
      </c>
      <c r="Q175" s="98" t="s">
        <v>13</v>
      </c>
      <c r="R175" s="98" t="s">
        <v>521</v>
      </c>
      <c r="S175" s="429">
        <v>19235313.719999999</v>
      </c>
      <c r="T175" s="429">
        <v>19235313.719999999</v>
      </c>
      <c r="U175" s="429">
        <v>0</v>
      </c>
      <c r="V175" s="457"/>
      <c r="W175" s="457"/>
      <c r="X175" s="457"/>
      <c r="Y175" s="50"/>
      <c r="Z175" s="430"/>
      <c r="AA175" s="430"/>
      <c r="AB175" s="458"/>
      <c r="AC175" s="458"/>
      <c r="AD175" s="28"/>
      <c r="AE175" s="28"/>
      <c r="AF175" s="431" t="s">
        <v>612</v>
      </c>
      <c r="AG175" s="431"/>
      <c r="AH175" s="28" t="s">
        <v>1050</v>
      </c>
      <c r="AI175" s="28" t="s">
        <v>1151</v>
      </c>
      <c r="AJ175" s="28" t="s">
        <v>1652</v>
      </c>
      <c r="AK175" s="50" t="s">
        <v>4686</v>
      </c>
      <c r="AL175" s="400" t="s">
        <v>1658</v>
      </c>
      <c r="AM175" s="28" t="s">
        <v>4554</v>
      </c>
      <c r="AN175" s="462" t="s">
        <v>4642</v>
      </c>
      <c r="AP175" s="160">
        <v>1</v>
      </c>
    </row>
    <row r="176" spans="1:42" s="190" customFormat="1" x14ac:dyDescent="0.25">
      <c r="A176" s="398"/>
      <c r="B176" s="8"/>
      <c r="C176" s="8"/>
      <c r="D176" s="8"/>
      <c r="E176" s="8"/>
      <c r="F176" s="191"/>
      <c r="G176" s="8"/>
      <c r="H176" s="38"/>
      <c r="I176" s="15"/>
      <c r="J176" s="6"/>
      <c r="K176" s="65"/>
      <c r="L176" s="259">
        <v>21204178.800000001</v>
      </c>
      <c r="M176" s="259"/>
      <c r="N176" s="8"/>
      <c r="O176" s="8"/>
      <c r="P176" s="6"/>
      <c r="Q176" s="6"/>
      <c r="R176" s="6"/>
      <c r="S176" s="42">
        <f>L176-S175</f>
        <v>1968865.0800000019</v>
      </c>
      <c r="T176" s="42"/>
      <c r="U176" s="42"/>
      <c r="V176" s="42"/>
      <c r="W176" s="42"/>
      <c r="X176" s="42"/>
      <c r="Y176" s="42"/>
      <c r="Z176" s="42"/>
      <c r="AA176" s="42"/>
      <c r="AB176" s="42"/>
      <c r="AC176" s="42"/>
      <c r="AD176" s="42"/>
      <c r="AE176" s="42"/>
      <c r="AF176" s="42"/>
      <c r="AG176" s="189"/>
      <c r="AH176" s="189"/>
      <c r="AI176" s="189"/>
      <c r="AJ176" s="189"/>
      <c r="AK176" s="109"/>
      <c r="AL176" s="189"/>
      <c r="AM176" s="189"/>
      <c r="AN176" s="109"/>
    </row>
    <row r="177" spans="1:46" s="138" customFormat="1" ht="225" x14ac:dyDescent="0.25">
      <c r="A177" s="28">
        <v>1</v>
      </c>
      <c r="B177" s="98" t="s">
        <v>45</v>
      </c>
      <c r="C177" s="98" t="s">
        <v>97</v>
      </c>
      <c r="D177" s="98">
        <v>2722052259</v>
      </c>
      <c r="E177" s="98">
        <v>1000105100</v>
      </c>
      <c r="F177" s="108" t="s">
        <v>125</v>
      </c>
      <c r="G177" s="98">
        <v>8000579459</v>
      </c>
      <c r="H177" s="99">
        <v>45233</v>
      </c>
      <c r="I177" s="100" t="s">
        <v>126</v>
      </c>
      <c r="J177" s="101" t="s">
        <v>103</v>
      </c>
      <c r="K177" s="429">
        <v>36283683.289999999</v>
      </c>
      <c r="L177" s="100"/>
      <c r="M177" s="100" t="s">
        <v>98</v>
      </c>
      <c r="N177" s="98" t="s">
        <v>170</v>
      </c>
      <c r="O177" s="101">
        <v>45427</v>
      </c>
      <c r="P177" s="50" t="s">
        <v>100</v>
      </c>
      <c r="Q177" s="50" t="s">
        <v>13</v>
      </c>
      <c r="R177" s="50" t="s">
        <v>41</v>
      </c>
      <c r="S177" s="429">
        <v>36030567.909999996</v>
      </c>
      <c r="T177" s="429">
        <v>36030567.909999996</v>
      </c>
      <c r="U177" s="429">
        <v>14476199.41</v>
      </c>
      <c r="V177" s="28" t="s">
        <v>230</v>
      </c>
      <c r="W177" s="28">
        <v>10885104.98</v>
      </c>
      <c r="X177" s="28" t="s">
        <v>231</v>
      </c>
      <c r="Y177" s="28" t="s">
        <v>608</v>
      </c>
      <c r="Z177" s="28"/>
      <c r="AA177" s="28"/>
      <c r="AB177" s="28"/>
      <c r="AC177" s="28"/>
      <c r="AD177" s="28"/>
      <c r="AE177" s="28"/>
      <c r="AF177" s="400" t="s">
        <v>1548</v>
      </c>
      <c r="AG177" s="28" t="s">
        <v>1031</v>
      </c>
      <c r="AH177" s="28" t="s">
        <v>1033</v>
      </c>
      <c r="AI177" s="28" t="s">
        <v>1345</v>
      </c>
      <c r="AJ177" s="28" t="s">
        <v>1577</v>
      </c>
      <c r="AK177" s="50" t="s">
        <v>4626</v>
      </c>
      <c r="AL177" s="400" t="s">
        <v>1347</v>
      </c>
      <c r="AM177" s="28" t="s">
        <v>4557</v>
      </c>
      <c r="AN177" s="467" t="s">
        <v>4658</v>
      </c>
      <c r="AT177" s="138">
        <v>1</v>
      </c>
    </row>
    <row r="178" spans="1:46" s="138" customFormat="1" ht="33.75" customHeight="1" x14ac:dyDescent="0.25">
      <c r="A178" s="63"/>
      <c r="B178" s="10" t="s">
        <v>45</v>
      </c>
      <c r="C178" s="10" t="s">
        <v>97</v>
      </c>
      <c r="D178" s="10">
        <v>2722052259</v>
      </c>
      <c r="E178" s="10">
        <v>1000105100</v>
      </c>
      <c r="F178" s="76" t="s">
        <v>218</v>
      </c>
      <c r="G178" s="10">
        <v>9000441876</v>
      </c>
      <c r="H178" s="75">
        <v>45338</v>
      </c>
      <c r="I178" s="14" t="s">
        <v>130</v>
      </c>
      <c r="J178" s="44" t="s">
        <v>103</v>
      </c>
      <c r="K178" s="146">
        <v>0</v>
      </c>
      <c r="L178" s="14"/>
      <c r="M178" s="14" t="s">
        <v>11</v>
      </c>
      <c r="N178" s="10"/>
      <c r="O178" s="44"/>
      <c r="P178" s="51"/>
      <c r="Q178" s="51"/>
      <c r="R178" s="51"/>
      <c r="S178" s="459"/>
      <c r="T178" s="459"/>
      <c r="U178" s="186"/>
      <c r="V178" s="63"/>
      <c r="W178" s="63"/>
      <c r="X178" s="63"/>
      <c r="Y178" s="63"/>
      <c r="Z178" s="140"/>
      <c r="AA178" s="140"/>
      <c r="AB178" s="63"/>
      <c r="AC178" s="63"/>
      <c r="AD178" s="63"/>
      <c r="AE178" s="63"/>
      <c r="AF178" s="63"/>
      <c r="AG178" s="63"/>
      <c r="AH178" s="63"/>
      <c r="AI178" s="63"/>
      <c r="AJ178" s="63"/>
      <c r="AK178" s="51"/>
      <c r="AL178" s="205"/>
      <c r="AM178" s="28"/>
      <c r="AN178" s="51"/>
    </row>
    <row r="179" spans="1:46" s="138" customFormat="1" ht="33.75" customHeight="1" x14ac:dyDescent="0.25">
      <c r="A179" s="63"/>
      <c r="B179" s="10" t="s">
        <v>45</v>
      </c>
      <c r="C179" s="10" t="s">
        <v>97</v>
      </c>
      <c r="D179" s="10">
        <v>2722052259</v>
      </c>
      <c r="E179" s="10">
        <v>1000105100</v>
      </c>
      <c r="F179" s="76" t="s">
        <v>220</v>
      </c>
      <c r="G179" s="10">
        <v>9000450293</v>
      </c>
      <c r="H179" s="75">
        <v>45378</v>
      </c>
      <c r="I179" s="14" t="s">
        <v>127</v>
      </c>
      <c r="J179" s="44" t="s">
        <v>103</v>
      </c>
      <c r="K179" s="146">
        <v>0</v>
      </c>
      <c r="L179" s="14"/>
      <c r="M179" s="14" t="s">
        <v>11</v>
      </c>
      <c r="N179" s="10">
        <v>45427</v>
      </c>
      <c r="O179" s="44"/>
      <c r="P179" s="10" t="s">
        <v>128</v>
      </c>
      <c r="Q179" s="51" t="s">
        <v>13</v>
      </c>
      <c r="R179" s="51" t="s">
        <v>41</v>
      </c>
      <c r="S179" s="459"/>
      <c r="T179" s="459"/>
      <c r="U179" s="186"/>
      <c r="V179" s="63"/>
      <c r="W179" s="63"/>
      <c r="X179" s="63"/>
      <c r="Y179" s="63"/>
      <c r="Z179" s="140"/>
      <c r="AA179" s="140"/>
      <c r="AB179" s="63"/>
      <c r="AC179" s="63"/>
      <c r="AD179" s="63"/>
      <c r="AE179" s="63"/>
      <c r="AF179" s="63"/>
      <c r="AG179" s="63"/>
      <c r="AH179" s="63"/>
      <c r="AI179" s="63"/>
      <c r="AJ179" s="63"/>
      <c r="AK179" s="51"/>
      <c r="AL179" s="205"/>
      <c r="AM179" s="28"/>
      <c r="AN179" s="51"/>
    </row>
    <row r="180" spans="1:46" s="138" customFormat="1" ht="33.75" customHeight="1" x14ac:dyDescent="0.25">
      <c r="A180" s="63"/>
      <c r="B180" s="10" t="s">
        <v>45</v>
      </c>
      <c r="C180" s="10" t="s">
        <v>97</v>
      </c>
      <c r="D180" s="10">
        <v>2722052259</v>
      </c>
      <c r="E180" s="10">
        <v>1000105100</v>
      </c>
      <c r="F180" s="76" t="s">
        <v>219</v>
      </c>
      <c r="G180" s="10">
        <v>9000466777</v>
      </c>
      <c r="H180" s="75">
        <v>45470</v>
      </c>
      <c r="I180" s="14" t="s">
        <v>181</v>
      </c>
      <c r="J180" s="44" t="s">
        <v>103</v>
      </c>
      <c r="K180" s="146">
        <v>4369798.68</v>
      </c>
      <c r="L180" s="14"/>
      <c r="M180" s="14" t="s">
        <v>11</v>
      </c>
      <c r="N180" s="10"/>
      <c r="O180" s="44"/>
      <c r="P180" s="10" t="s">
        <v>182</v>
      </c>
      <c r="Q180" s="51" t="s">
        <v>13</v>
      </c>
      <c r="R180" s="51" t="s">
        <v>120</v>
      </c>
      <c r="S180" s="459"/>
      <c r="T180" s="459"/>
      <c r="U180" s="186"/>
      <c r="V180" s="63"/>
      <c r="W180" s="63"/>
      <c r="X180" s="63"/>
      <c r="Y180" s="63"/>
      <c r="Z180" s="140"/>
      <c r="AA180" s="140"/>
      <c r="AB180" s="63"/>
      <c r="AC180" s="63"/>
      <c r="AD180" s="63"/>
      <c r="AE180" s="63"/>
      <c r="AF180" s="63"/>
      <c r="AG180" s="63"/>
      <c r="AH180" s="63"/>
      <c r="AI180" s="63"/>
      <c r="AJ180" s="63"/>
      <c r="AK180" s="51"/>
      <c r="AL180" s="205"/>
      <c r="AM180" s="28"/>
      <c r="AN180" s="51"/>
    </row>
    <row r="181" spans="1:46" s="138" customFormat="1" ht="33.75" customHeight="1" x14ac:dyDescent="0.25">
      <c r="A181" s="63"/>
      <c r="B181" s="10" t="s">
        <v>45</v>
      </c>
      <c r="C181" s="10" t="s">
        <v>97</v>
      </c>
      <c r="D181" s="10">
        <v>2722052259</v>
      </c>
      <c r="E181" s="10">
        <v>1000105100</v>
      </c>
      <c r="F181" s="76" t="s">
        <v>232</v>
      </c>
      <c r="G181" s="10">
        <v>9000480126</v>
      </c>
      <c r="H181" s="75" t="s">
        <v>233</v>
      </c>
      <c r="I181" s="14" t="s">
        <v>181</v>
      </c>
      <c r="J181" s="44" t="s">
        <v>103</v>
      </c>
      <c r="K181" s="146">
        <v>2364799.11</v>
      </c>
      <c r="L181" s="14"/>
      <c r="M181" s="14" t="s">
        <v>11</v>
      </c>
      <c r="N181" s="10" t="s">
        <v>234</v>
      </c>
      <c r="O181" s="44" t="s">
        <v>235</v>
      </c>
      <c r="P181" s="10" t="s">
        <v>236</v>
      </c>
      <c r="Q181" s="51" t="s">
        <v>13</v>
      </c>
      <c r="R181" s="51" t="s">
        <v>120</v>
      </c>
      <c r="S181" s="459"/>
      <c r="T181" s="459"/>
      <c r="U181" s="186"/>
      <c r="V181" s="63"/>
      <c r="W181" s="63"/>
      <c r="X181" s="63"/>
      <c r="Y181" s="63"/>
      <c r="Z181" s="140"/>
      <c r="AA181" s="140"/>
      <c r="AB181" s="63"/>
      <c r="AC181" s="63"/>
      <c r="AD181" s="63"/>
      <c r="AE181" s="63"/>
      <c r="AF181" s="63"/>
      <c r="AG181" s="63"/>
      <c r="AH181" s="63"/>
      <c r="AI181" s="63"/>
      <c r="AJ181" s="63"/>
      <c r="AK181" s="51"/>
      <c r="AL181" s="205"/>
      <c r="AM181" s="28"/>
      <c r="AN181" s="51"/>
    </row>
    <row r="182" spans="1:46" s="138" customFormat="1" ht="33.75" customHeight="1" x14ac:dyDescent="0.25">
      <c r="A182" s="63"/>
      <c r="B182" s="10" t="s">
        <v>45</v>
      </c>
      <c r="C182" s="10" t="s">
        <v>97</v>
      </c>
      <c r="D182" s="10">
        <v>2722052259</v>
      </c>
      <c r="E182" s="10">
        <v>1000105100</v>
      </c>
      <c r="F182" s="76" t="s">
        <v>241</v>
      </c>
      <c r="G182" s="10">
        <v>9000486526</v>
      </c>
      <c r="H182" s="75" t="s">
        <v>242</v>
      </c>
      <c r="I182" s="14" t="s">
        <v>243</v>
      </c>
      <c r="J182" s="44" t="s">
        <v>103</v>
      </c>
      <c r="K182" s="146">
        <v>0</v>
      </c>
      <c r="L182" s="14"/>
      <c r="M182" s="14" t="s">
        <v>11</v>
      </c>
      <c r="N182" s="10" t="s">
        <v>244</v>
      </c>
      <c r="O182" s="44" t="s">
        <v>244</v>
      </c>
      <c r="P182" s="10" t="s">
        <v>245</v>
      </c>
      <c r="Q182" s="51" t="s">
        <v>13</v>
      </c>
      <c r="R182" s="51" t="s">
        <v>120</v>
      </c>
      <c r="S182" s="459"/>
      <c r="T182" s="459"/>
      <c r="U182" s="186"/>
      <c r="V182" s="63"/>
      <c r="W182" s="63"/>
      <c r="X182" s="63"/>
      <c r="Y182" s="63"/>
      <c r="Z182" s="140"/>
      <c r="AA182" s="140"/>
      <c r="AB182" s="63"/>
      <c r="AC182" s="63"/>
      <c r="AD182" s="63"/>
      <c r="AE182" s="63"/>
      <c r="AF182" s="63"/>
      <c r="AG182" s="63"/>
      <c r="AH182" s="63"/>
      <c r="AI182" s="63"/>
      <c r="AJ182" s="63"/>
      <c r="AK182" s="51"/>
      <c r="AL182" s="205"/>
      <c r="AM182" s="28"/>
      <c r="AN182" s="51"/>
    </row>
    <row r="183" spans="1:46" s="138" customFormat="1" ht="33.75" customHeight="1" x14ac:dyDescent="0.25">
      <c r="A183" s="63"/>
      <c r="B183" s="10" t="s">
        <v>45</v>
      </c>
      <c r="C183" s="10" t="s">
        <v>97</v>
      </c>
      <c r="D183" s="10">
        <v>2722052259</v>
      </c>
      <c r="E183" s="10">
        <v>1000105100</v>
      </c>
      <c r="F183" s="76" t="s">
        <v>340</v>
      </c>
      <c r="G183" s="10">
        <v>9000502211</v>
      </c>
      <c r="H183" s="75">
        <v>45618</v>
      </c>
      <c r="I183" s="14" t="s">
        <v>243</v>
      </c>
      <c r="J183" s="44" t="s">
        <v>103</v>
      </c>
      <c r="K183" s="14">
        <v>0</v>
      </c>
      <c r="L183" s="14"/>
      <c r="M183" s="14" t="s">
        <v>11</v>
      </c>
      <c r="N183" s="10" t="s">
        <v>339</v>
      </c>
      <c r="O183" s="44" t="s">
        <v>339</v>
      </c>
      <c r="P183" s="10" t="s">
        <v>341</v>
      </c>
      <c r="Q183" s="51" t="s">
        <v>13</v>
      </c>
      <c r="R183" s="51" t="s">
        <v>120</v>
      </c>
      <c r="S183" s="459"/>
      <c r="T183" s="459"/>
      <c r="U183" s="186"/>
      <c r="V183" s="63"/>
      <c r="W183" s="63"/>
      <c r="X183" s="63"/>
      <c r="Y183" s="63"/>
      <c r="Z183" s="140"/>
      <c r="AA183" s="140"/>
      <c r="AB183" s="63"/>
      <c r="AC183" s="63"/>
      <c r="AD183" s="63"/>
      <c r="AE183" s="63"/>
      <c r="AF183" s="63"/>
      <c r="AG183" s="63"/>
      <c r="AH183" s="63"/>
      <c r="AI183" s="63"/>
      <c r="AJ183" s="63"/>
      <c r="AK183" s="51"/>
      <c r="AL183" s="205"/>
      <c r="AM183" s="28"/>
      <c r="AN183" s="51"/>
    </row>
    <row r="184" spans="1:46" s="138" customFormat="1" ht="33.75" customHeight="1" x14ac:dyDescent="0.25">
      <c r="A184" s="63"/>
      <c r="B184" s="10" t="s">
        <v>45</v>
      </c>
      <c r="C184" s="10" t="s">
        <v>97</v>
      </c>
      <c r="D184" s="10">
        <v>2722052259</v>
      </c>
      <c r="E184" s="10">
        <v>1000105100</v>
      </c>
      <c r="F184" s="76" t="s">
        <v>622</v>
      </c>
      <c r="G184" s="10">
        <v>9000507994</v>
      </c>
      <c r="H184" s="75">
        <v>45646</v>
      </c>
      <c r="I184" s="14" t="s">
        <v>243</v>
      </c>
      <c r="J184" s="44" t="s">
        <v>103</v>
      </c>
      <c r="K184" s="14">
        <v>0</v>
      </c>
      <c r="L184" s="14"/>
      <c r="M184" s="14" t="s">
        <v>11</v>
      </c>
      <c r="N184" s="10" t="s">
        <v>360</v>
      </c>
      <c r="O184" s="44" t="s">
        <v>360</v>
      </c>
      <c r="P184" s="10" t="s">
        <v>341</v>
      </c>
      <c r="Q184" s="51" t="s">
        <v>13</v>
      </c>
      <c r="R184" s="51" t="s">
        <v>120</v>
      </c>
      <c r="S184" s="459"/>
      <c r="T184" s="459"/>
      <c r="U184" s="186"/>
      <c r="V184" s="63"/>
      <c r="W184" s="63"/>
      <c r="X184" s="63"/>
      <c r="Y184" s="63"/>
      <c r="Z184" s="140"/>
      <c r="AA184" s="140"/>
      <c r="AB184" s="63"/>
      <c r="AC184" s="63"/>
      <c r="AD184" s="63"/>
      <c r="AE184" s="63"/>
      <c r="AF184" s="63"/>
      <c r="AG184" s="63"/>
      <c r="AH184" s="63"/>
      <c r="AI184" s="63"/>
      <c r="AJ184" s="63"/>
      <c r="AK184" s="51"/>
      <c r="AL184" s="205"/>
      <c r="AM184" s="28"/>
      <c r="AN184" s="51"/>
    </row>
    <row r="185" spans="1:46" s="138" customFormat="1" ht="51" customHeight="1" x14ac:dyDescent="0.25">
      <c r="A185" s="63"/>
      <c r="B185" s="10" t="s">
        <v>45</v>
      </c>
      <c r="C185" s="10" t="s">
        <v>97</v>
      </c>
      <c r="D185" s="10">
        <v>2722052259</v>
      </c>
      <c r="E185" s="10">
        <v>1000105100</v>
      </c>
      <c r="F185" s="76" t="s">
        <v>623</v>
      </c>
      <c r="G185" s="10">
        <v>9000547144</v>
      </c>
      <c r="H185" s="75">
        <v>45812</v>
      </c>
      <c r="I185" s="14" t="s">
        <v>243</v>
      </c>
      <c r="J185" s="44" t="s">
        <v>103</v>
      </c>
      <c r="K185" s="14">
        <v>0</v>
      </c>
      <c r="L185" s="14"/>
      <c r="M185" s="14" t="s">
        <v>11</v>
      </c>
      <c r="N185" s="10" t="s">
        <v>624</v>
      </c>
      <c r="O185" s="44" t="s">
        <v>624</v>
      </c>
      <c r="P185" s="10" t="s">
        <v>341</v>
      </c>
      <c r="Q185" s="51" t="s">
        <v>13</v>
      </c>
      <c r="R185" s="51" t="s">
        <v>120</v>
      </c>
      <c r="S185" s="459"/>
      <c r="T185" s="459"/>
      <c r="U185" s="186"/>
      <c r="V185" s="63"/>
      <c r="W185" s="63"/>
      <c r="X185" s="63"/>
      <c r="Y185" s="63"/>
      <c r="Z185" s="140"/>
      <c r="AA185" s="140"/>
      <c r="AB185" s="63"/>
      <c r="AC185" s="63"/>
      <c r="AD185" s="63"/>
      <c r="AE185" s="63"/>
      <c r="AF185" s="63"/>
      <c r="AG185" s="63"/>
      <c r="AH185" s="63"/>
      <c r="AI185" s="63"/>
      <c r="AJ185" s="63"/>
      <c r="AK185" s="51"/>
      <c r="AL185" s="205"/>
      <c r="AM185" s="28"/>
      <c r="AN185" s="51"/>
    </row>
    <row r="186" spans="1:46" s="138" customFormat="1" ht="51" customHeight="1" x14ac:dyDescent="0.2">
      <c r="A186" s="63"/>
      <c r="B186" s="10" t="s">
        <v>45</v>
      </c>
      <c r="C186" s="10" t="s">
        <v>97</v>
      </c>
      <c r="D186" s="10">
        <v>2722052259</v>
      </c>
      <c r="E186" s="10">
        <v>1000105100</v>
      </c>
      <c r="F186" s="403" t="s">
        <v>4556</v>
      </c>
      <c r="G186" s="10">
        <v>9000571540</v>
      </c>
      <c r="H186" s="75"/>
      <c r="I186" s="14" t="s">
        <v>243</v>
      </c>
      <c r="J186" s="44" t="s">
        <v>103</v>
      </c>
      <c r="K186" s="14">
        <v>0</v>
      </c>
      <c r="L186" s="14"/>
      <c r="M186" s="14" t="s">
        <v>11</v>
      </c>
      <c r="N186" s="10" t="s">
        <v>4555</v>
      </c>
      <c r="O186" s="44" t="s">
        <v>624</v>
      </c>
      <c r="P186" s="10" t="s">
        <v>341</v>
      </c>
      <c r="Q186" s="51" t="s">
        <v>13</v>
      </c>
      <c r="R186" s="51" t="s">
        <v>120</v>
      </c>
      <c r="S186" s="459"/>
      <c r="T186" s="459"/>
      <c r="U186" s="186"/>
      <c r="V186" s="63"/>
      <c r="W186" s="63"/>
      <c r="X186" s="63"/>
      <c r="Y186" s="63"/>
      <c r="Z186" s="140"/>
      <c r="AA186" s="140"/>
      <c r="AB186" s="63"/>
      <c r="AC186" s="63"/>
      <c r="AD186" s="63"/>
      <c r="AE186" s="63"/>
      <c r="AF186" s="63"/>
      <c r="AG186" s="63"/>
      <c r="AH186" s="63"/>
      <c r="AI186" s="63"/>
      <c r="AJ186" s="63"/>
      <c r="AK186" s="51"/>
      <c r="AL186" s="205"/>
      <c r="AM186" s="28"/>
      <c r="AN186" s="51"/>
    </row>
    <row r="187" spans="1:46" s="190" customFormat="1" x14ac:dyDescent="0.25">
      <c r="A187" s="398"/>
      <c r="B187" s="8"/>
      <c r="C187" s="8"/>
      <c r="D187" s="8"/>
      <c r="E187" s="8"/>
      <c r="F187" s="191"/>
      <c r="G187" s="8"/>
      <c r="H187" s="38"/>
      <c r="I187" s="15"/>
      <c r="J187" s="6"/>
      <c r="K187" s="65"/>
      <c r="L187" s="259">
        <f>SUM(K177:K183)</f>
        <v>43018281.079999998</v>
      </c>
      <c r="M187" s="259"/>
      <c r="N187" s="8"/>
      <c r="O187" s="8"/>
      <c r="P187" s="6"/>
      <c r="Q187" s="6"/>
      <c r="R187" s="6"/>
      <c r="S187" s="42">
        <f>L187-S177</f>
        <v>6987713.1700000018</v>
      </c>
      <c r="T187" s="42"/>
      <c r="U187" s="42"/>
      <c r="V187" s="42"/>
      <c r="W187" s="42"/>
      <c r="X187" s="42"/>
      <c r="Y187" s="42"/>
      <c r="Z187" s="42"/>
      <c r="AA187" s="42"/>
      <c r="AB187" s="42"/>
      <c r="AC187" s="42"/>
      <c r="AD187" s="42"/>
      <c r="AE187" s="42"/>
      <c r="AF187" s="42"/>
      <c r="AG187" s="189"/>
      <c r="AH187" s="189"/>
      <c r="AI187" s="189"/>
      <c r="AJ187" s="189"/>
      <c r="AK187" s="109"/>
      <c r="AL187" s="189"/>
      <c r="AM187" s="189"/>
      <c r="AN187" s="109"/>
    </row>
    <row r="188" spans="1:46" s="138" customFormat="1" ht="130.5" customHeight="1" x14ac:dyDescent="0.25">
      <c r="A188" s="28">
        <v>1</v>
      </c>
      <c r="B188" s="98" t="s">
        <v>133</v>
      </c>
      <c r="C188" s="98" t="s">
        <v>46</v>
      </c>
      <c r="D188" s="98">
        <v>2722052259</v>
      </c>
      <c r="E188" s="98">
        <v>1000105100</v>
      </c>
      <c r="F188" s="432" t="s">
        <v>366</v>
      </c>
      <c r="G188" s="98">
        <v>8000702663</v>
      </c>
      <c r="H188" s="99">
        <v>45681</v>
      </c>
      <c r="I188" s="100" t="s">
        <v>367</v>
      </c>
      <c r="J188" s="100" t="s">
        <v>368</v>
      </c>
      <c r="K188" s="101">
        <v>9821770.1799999997</v>
      </c>
      <c r="L188" s="101"/>
      <c r="M188" s="100" t="s">
        <v>370</v>
      </c>
      <c r="N188" s="100" t="s">
        <v>371</v>
      </c>
      <c r="O188" s="100"/>
      <c r="P188" s="98" t="s">
        <v>369</v>
      </c>
      <c r="Q188" s="98" t="s">
        <v>168</v>
      </c>
      <c r="R188" s="100" t="s">
        <v>4583</v>
      </c>
      <c r="S188" s="429">
        <v>9585244.7599999998</v>
      </c>
      <c r="T188" s="429" t="s">
        <v>914</v>
      </c>
      <c r="U188" s="429">
        <v>3928708.07</v>
      </c>
      <c r="V188" s="50"/>
      <c r="W188" s="50"/>
      <c r="X188" s="50"/>
      <c r="Y188" s="50"/>
      <c r="Z188" s="50"/>
      <c r="AA188" s="28"/>
      <c r="AB188" s="28" t="s">
        <v>410</v>
      </c>
      <c r="AC188" s="28"/>
      <c r="AD188" s="28"/>
      <c r="AE188" s="28"/>
      <c r="AF188" s="400" t="s">
        <v>913</v>
      </c>
      <c r="AG188" s="400"/>
      <c r="AH188" s="28" t="s">
        <v>1036</v>
      </c>
      <c r="AI188" s="28" t="s">
        <v>1653</v>
      </c>
      <c r="AJ188" s="28"/>
      <c r="AK188" s="50" t="s">
        <v>4687</v>
      </c>
      <c r="AL188" s="400" t="s">
        <v>1659</v>
      </c>
      <c r="AM188" s="28" t="s">
        <v>4562</v>
      </c>
      <c r="AN188" s="462" t="s">
        <v>4642</v>
      </c>
      <c r="AP188" s="138">
        <v>1</v>
      </c>
    </row>
    <row r="189" spans="1:46" s="138" customFormat="1" ht="60" x14ac:dyDescent="0.25">
      <c r="A189" s="63"/>
      <c r="B189" s="10" t="s">
        <v>133</v>
      </c>
      <c r="C189" s="10" t="s">
        <v>46</v>
      </c>
      <c r="D189" s="10">
        <v>2722052259</v>
      </c>
      <c r="E189" s="10">
        <v>1000105100</v>
      </c>
      <c r="F189" s="76" t="s">
        <v>407</v>
      </c>
      <c r="G189" s="10">
        <v>9000530580</v>
      </c>
      <c r="H189" s="75">
        <v>45735</v>
      </c>
      <c r="I189" s="14" t="s">
        <v>408</v>
      </c>
      <c r="J189" s="14" t="s">
        <v>368</v>
      </c>
      <c r="K189" s="44"/>
      <c r="L189" s="44"/>
      <c r="M189" s="14" t="s">
        <v>411</v>
      </c>
      <c r="N189" s="14" t="s">
        <v>371</v>
      </c>
      <c r="O189" s="14"/>
      <c r="P189" s="10" t="s">
        <v>409</v>
      </c>
      <c r="Q189" s="10" t="s">
        <v>168</v>
      </c>
      <c r="R189" s="98"/>
      <c r="S189" s="101"/>
      <c r="T189" s="44"/>
      <c r="U189" s="44"/>
      <c r="V189" s="51"/>
      <c r="W189" s="51"/>
      <c r="X189" s="51"/>
      <c r="Y189" s="51"/>
      <c r="Z189" s="51"/>
      <c r="AA189" s="63"/>
      <c r="AB189" s="63"/>
      <c r="AC189" s="63"/>
      <c r="AD189" s="63"/>
      <c r="AE189" s="63"/>
      <c r="AF189" s="140"/>
      <c r="AG189" s="140"/>
      <c r="AH189" s="140"/>
      <c r="AI189" s="140"/>
      <c r="AJ189" s="140"/>
      <c r="AK189" s="51"/>
      <c r="AL189" s="205"/>
      <c r="AM189" s="28"/>
      <c r="AN189" s="51"/>
    </row>
    <row r="190" spans="1:46" s="190" customFormat="1" x14ac:dyDescent="0.25">
      <c r="A190" s="398"/>
      <c r="B190" s="8"/>
      <c r="C190" s="8"/>
      <c r="D190" s="8"/>
      <c r="E190" s="8"/>
      <c r="F190" s="191"/>
      <c r="G190" s="8"/>
      <c r="H190" s="38"/>
      <c r="I190" s="15"/>
      <c r="J190" s="6"/>
      <c r="K190" s="65"/>
      <c r="L190" s="259">
        <f>SUM(K188:L188)</f>
        <v>9821770.1799999997</v>
      </c>
      <c r="M190" s="259"/>
      <c r="N190" s="8"/>
      <c r="O190" s="8"/>
      <c r="P190" s="6"/>
      <c r="Q190" s="6"/>
      <c r="R190" s="6"/>
      <c r="S190" s="42">
        <f>L190-S188</f>
        <v>236525.41999999993</v>
      </c>
      <c r="T190" s="42"/>
      <c r="U190" s="42"/>
      <c r="V190" s="42"/>
      <c r="W190" s="42"/>
      <c r="X190" s="42"/>
      <c r="Y190" s="42"/>
      <c r="Z190" s="42"/>
      <c r="AA190" s="42"/>
      <c r="AB190" s="42"/>
      <c r="AC190" s="42"/>
      <c r="AD190" s="42"/>
      <c r="AE190" s="42"/>
      <c r="AF190" s="42"/>
      <c r="AG190" s="189"/>
      <c r="AH190" s="189"/>
      <c r="AI190" s="189"/>
      <c r="AJ190" s="189"/>
      <c r="AK190" s="109"/>
      <c r="AL190" s="189"/>
      <c r="AM190" s="189"/>
      <c r="AN190" s="109"/>
    </row>
    <row r="191" spans="1:46" s="138" customFormat="1" ht="105" x14ac:dyDescent="0.25">
      <c r="A191" s="28">
        <v>1</v>
      </c>
      <c r="B191" s="98" t="s">
        <v>20</v>
      </c>
      <c r="C191" s="98" t="s">
        <v>690</v>
      </c>
      <c r="D191" s="98">
        <v>2540188760</v>
      </c>
      <c r="E191" s="98">
        <v>1000105098</v>
      </c>
      <c r="F191" s="413" t="s">
        <v>691</v>
      </c>
      <c r="G191" s="98">
        <v>8000747840</v>
      </c>
      <c r="H191" s="99">
        <v>45847</v>
      </c>
      <c r="I191" s="100" t="s">
        <v>692</v>
      </c>
      <c r="J191" s="100" t="s">
        <v>162</v>
      </c>
      <c r="K191" s="101">
        <v>64130112.950000003</v>
      </c>
      <c r="L191" s="101"/>
      <c r="M191" s="100" t="s">
        <v>11</v>
      </c>
      <c r="N191" s="100" t="s">
        <v>639</v>
      </c>
      <c r="O191" s="100"/>
      <c r="P191" s="98" t="s">
        <v>693</v>
      </c>
      <c r="Q191" s="98" t="s">
        <v>168</v>
      </c>
      <c r="R191" s="98" t="s">
        <v>694</v>
      </c>
      <c r="S191" s="429">
        <v>60138773.759999998</v>
      </c>
      <c r="T191" s="429">
        <v>60138773.759999998</v>
      </c>
      <c r="U191" s="429">
        <v>0</v>
      </c>
      <c r="V191" s="50"/>
      <c r="W191" s="50"/>
      <c r="X191" s="50"/>
      <c r="Y191" s="50"/>
      <c r="Z191" s="50"/>
      <c r="AA191" s="28"/>
      <c r="AB191" s="28" t="s">
        <v>695</v>
      </c>
      <c r="AC191" s="28"/>
      <c r="AD191" s="28"/>
      <c r="AE191" s="28"/>
      <c r="AF191" s="400" t="s">
        <v>1088</v>
      </c>
      <c r="AG191" s="400" t="s">
        <v>1089</v>
      </c>
      <c r="AH191" s="28"/>
      <c r="AI191" s="28" t="s">
        <v>1654</v>
      </c>
      <c r="AJ191" s="28"/>
      <c r="AK191" s="50" t="s">
        <v>4627</v>
      </c>
      <c r="AL191" s="400" t="s">
        <v>1660</v>
      </c>
      <c r="AM191" s="28" t="s">
        <v>4563</v>
      </c>
      <c r="AN191" s="467" t="s">
        <v>4659</v>
      </c>
      <c r="AT191" s="138">
        <v>1</v>
      </c>
    </row>
    <row r="192" spans="1:46" s="190" customFormat="1" x14ac:dyDescent="0.25">
      <c r="A192" s="398"/>
      <c r="B192" s="8"/>
      <c r="C192" s="8"/>
      <c r="D192" s="8"/>
      <c r="E192" s="8"/>
      <c r="F192" s="191"/>
      <c r="G192" s="8"/>
      <c r="H192" s="38"/>
      <c r="I192" s="15"/>
      <c r="J192" s="6"/>
      <c r="K192" s="65"/>
      <c r="L192" s="259">
        <f>SUM(K191:K192)</f>
        <v>64130112.950000003</v>
      </c>
      <c r="M192" s="259"/>
      <c r="N192" s="8"/>
      <c r="O192" s="8"/>
      <c r="P192" s="6"/>
      <c r="Q192" s="6"/>
      <c r="R192" s="6"/>
      <c r="S192" s="42">
        <f>L192-S191</f>
        <v>3991339.1900000051</v>
      </c>
      <c r="T192" s="42"/>
      <c r="U192" s="42"/>
      <c r="V192" s="42"/>
      <c r="W192" s="42"/>
      <c r="X192" s="42"/>
      <c r="Y192" s="42"/>
      <c r="Z192" s="42"/>
      <c r="AA192" s="42"/>
      <c r="AB192" s="42"/>
      <c r="AC192" s="42"/>
      <c r="AD192" s="42"/>
      <c r="AE192" s="42"/>
      <c r="AF192" s="42"/>
      <c r="AG192" s="189"/>
      <c r="AH192" s="189"/>
      <c r="AI192" s="189"/>
      <c r="AJ192" s="189"/>
      <c r="AK192" s="109"/>
      <c r="AL192" s="189"/>
      <c r="AM192" s="189"/>
      <c r="AN192" s="109"/>
    </row>
    <row r="193" spans="1:44" s="138" customFormat="1" ht="135" x14ac:dyDescent="0.25">
      <c r="A193" s="28">
        <v>1</v>
      </c>
      <c r="B193" s="98" t="s">
        <v>904</v>
      </c>
      <c r="C193" s="98" t="s">
        <v>442</v>
      </c>
      <c r="D193" s="98">
        <v>2464039386</v>
      </c>
      <c r="E193" s="98">
        <v>1000028454</v>
      </c>
      <c r="F193" s="420" t="s">
        <v>905</v>
      </c>
      <c r="G193" s="98">
        <v>8000758239</v>
      </c>
      <c r="H193" s="99">
        <v>45894</v>
      </c>
      <c r="I193" s="100" t="s">
        <v>906</v>
      </c>
      <c r="J193" s="100" t="s">
        <v>748</v>
      </c>
      <c r="K193" s="101">
        <v>660946.18000000005</v>
      </c>
      <c r="L193" s="101"/>
      <c r="M193" s="100" t="s">
        <v>11</v>
      </c>
      <c r="N193" s="100" t="s">
        <v>907</v>
      </c>
      <c r="O193" s="100"/>
      <c r="P193" s="98" t="s">
        <v>908</v>
      </c>
      <c r="Q193" s="98" t="s">
        <v>13</v>
      </c>
      <c r="R193" s="98" t="s">
        <v>39</v>
      </c>
      <c r="S193" s="429">
        <v>549832.61</v>
      </c>
      <c r="T193" s="429">
        <v>549832.61</v>
      </c>
      <c r="U193" s="429">
        <v>0</v>
      </c>
      <c r="V193" s="50"/>
      <c r="W193" s="50"/>
      <c r="X193" s="50"/>
      <c r="Y193" s="50"/>
      <c r="Z193" s="50"/>
      <c r="AA193" s="28"/>
      <c r="AB193" s="28" t="s">
        <v>909</v>
      </c>
      <c r="AC193" s="28"/>
      <c r="AD193" s="28"/>
      <c r="AE193" s="28"/>
      <c r="AF193" s="400" t="s">
        <v>1344</v>
      </c>
      <c r="AG193" s="400" t="s">
        <v>926</v>
      </c>
      <c r="AH193" s="28" t="s">
        <v>972</v>
      </c>
      <c r="AI193" s="28" t="s">
        <v>1655</v>
      </c>
      <c r="AJ193" s="28"/>
      <c r="AK193" s="50" t="s">
        <v>4628</v>
      </c>
      <c r="AL193" s="400" t="s">
        <v>1661</v>
      </c>
      <c r="AM193" s="28" t="s">
        <v>4564</v>
      </c>
      <c r="AN193" s="462" t="s">
        <v>4642</v>
      </c>
      <c r="AP193" s="138">
        <v>1</v>
      </c>
    </row>
    <row r="194" spans="1:44" s="190" customFormat="1" x14ac:dyDescent="0.25">
      <c r="A194" s="398"/>
      <c r="B194" s="8"/>
      <c r="C194" s="8"/>
      <c r="D194" s="8"/>
      <c r="E194" s="8"/>
      <c r="F194" s="191"/>
      <c r="G194" s="8"/>
      <c r="H194" s="38"/>
      <c r="I194" s="15"/>
      <c r="J194" s="6"/>
      <c r="K194" s="65"/>
      <c r="L194" s="259">
        <v>660946.18000000005</v>
      </c>
      <c r="M194" s="259"/>
      <c r="N194" s="8"/>
      <c r="O194" s="8"/>
      <c r="P194" s="6"/>
      <c r="Q194" s="6"/>
      <c r="R194" s="6"/>
      <c r="S194" s="42">
        <f>L194-S193</f>
        <v>111113.57000000007</v>
      </c>
      <c r="T194" s="42"/>
      <c r="U194" s="42"/>
      <c r="V194" s="42"/>
      <c r="W194" s="42"/>
      <c r="X194" s="42"/>
      <c r="Y194" s="42"/>
      <c r="Z194" s="42"/>
      <c r="AA194" s="42"/>
      <c r="AB194" s="42"/>
      <c r="AC194" s="42"/>
      <c r="AD194" s="42"/>
      <c r="AE194" s="42"/>
      <c r="AF194" s="42"/>
      <c r="AG194" s="189"/>
      <c r="AH194" s="189"/>
      <c r="AI194" s="189"/>
      <c r="AJ194" s="189"/>
      <c r="AK194" s="109"/>
      <c r="AL194" s="189"/>
      <c r="AM194" s="189"/>
      <c r="AN194" s="109"/>
    </row>
    <row r="195" spans="1:44" s="138" customFormat="1" ht="165" x14ac:dyDescent="0.25">
      <c r="A195" s="28">
        <v>1</v>
      </c>
      <c r="B195" s="98" t="s">
        <v>75</v>
      </c>
      <c r="C195" s="98" t="s">
        <v>74</v>
      </c>
      <c r="D195" s="418">
        <v>2725059439</v>
      </c>
      <c r="E195" s="98">
        <v>1000114970</v>
      </c>
      <c r="F195" s="409" t="s">
        <v>4565</v>
      </c>
      <c r="G195" s="98">
        <v>8000729412</v>
      </c>
      <c r="H195" s="99">
        <v>45770</v>
      </c>
      <c r="I195" s="100" t="s">
        <v>459</v>
      </c>
      <c r="J195" s="100" t="s">
        <v>357</v>
      </c>
      <c r="K195" s="101">
        <v>28167024.23</v>
      </c>
      <c r="L195" s="101"/>
      <c r="M195" s="100" t="s">
        <v>11</v>
      </c>
      <c r="N195" s="100" t="s">
        <v>460</v>
      </c>
      <c r="O195" s="100"/>
      <c r="P195" s="98" t="s">
        <v>461</v>
      </c>
      <c r="Q195" s="98" t="s">
        <v>168</v>
      </c>
      <c r="R195" s="100" t="s">
        <v>4584</v>
      </c>
      <c r="S195" s="429">
        <v>27228742.84</v>
      </c>
      <c r="T195" s="429">
        <v>27228742.84</v>
      </c>
      <c r="U195" s="429">
        <v>0</v>
      </c>
      <c r="V195" s="50"/>
      <c r="W195" s="50"/>
      <c r="X195" s="50"/>
      <c r="Y195" s="50"/>
      <c r="Z195" s="50"/>
      <c r="AA195" s="28"/>
      <c r="AB195" s="57" t="s">
        <v>462</v>
      </c>
      <c r="AC195" s="28"/>
      <c r="AD195" s="28"/>
      <c r="AE195" s="28"/>
      <c r="AF195" s="400" t="s">
        <v>1111</v>
      </c>
      <c r="AG195" s="28" t="s">
        <v>1157</v>
      </c>
      <c r="AH195" s="28" t="s">
        <v>1410</v>
      </c>
      <c r="AI195" s="28" t="s">
        <v>1702</v>
      </c>
      <c r="AJ195" s="28" t="s">
        <v>1702</v>
      </c>
      <c r="AK195" s="50" t="s">
        <v>4629</v>
      </c>
      <c r="AL195" s="444" t="s">
        <v>1563</v>
      </c>
      <c r="AM195" s="28" t="s">
        <v>4566</v>
      </c>
      <c r="AN195" s="464" t="s">
        <v>4644</v>
      </c>
      <c r="AR195" s="138">
        <v>1</v>
      </c>
    </row>
    <row r="196" spans="1:44" s="2" customFormat="1" ht="90" x14ac:dyDescent="0.25">
      <c r="A196" s="28"/>
      <c r="B196" s="98" t="s">
        <v>75</v>
      </c>
      <c r="C196" s="98" t="s">
        <v>74</v>
      </c>
      <c r="D196" s="418">
        <v>2725059439</v>
      </c>
      <c r="E196" s="98">
        <v>1000114970</v>
      </c>
      <c r="F196" s="108" t="s">
        <v>1458</v>
      </c>
      <c r="G196" s="98">
        <v>9000596479</v>
      </c>
      <c r="H196" s="99">
        <v>46020</v>
      </c>
      <c r="I196" s="100" t="s">
        <v>1459</v>
      </c>
      <c r="J196" s="100" t="s">
        <v>357</v>
      </c>
      <c r="K196" s="101">
        <v>4753003.6500000004</v>
      </c>
      <c r="L196" s="101"/>
      <c r="M196" s="100"/>
      <c r="N196" s="100" t="s">
        <v>1460</v>
      </c>
      <c r="O196" s="100"/>
      <c r="P196" s="98" t="s">
        <v>1461</v>
      </c>
      <c r="Q196" s="98" t="s">
        <v>168</v>
      </c>
      <c r="R196" s="98"/>
      <c r="S196" s="98"/>
      <c r="T196" s="100"/>
      <c r="U196" s="100"/>
      <c r="V196" s="50"/>
      <c r="W196" s="50"/>
      <c r="X196" s="50"/>
      <c r="Y196" s="50"/>
      <c r="Z196" s="50"/>
      <c r="AA196" s="28"/>
      <c r="AB196" s="57"/>
      <c r="AC196" s="28"/>
      <c r="AD196" s="28"/>
      <c r="AE196" s="28"/>
      <c r="AF196" s="28"/>
      <c r="AG196" s="28"/>
      <c r="AH196" s="28"/>
      <c r="AI196" s="28"/>
      <c r="AJ196" s="28"/>
      <c r="AK196" s="50"/>
      <c r="AL196" s="28"/>
      <c r="AM196" s="28"/>
      <c r="AN196" s="50"/>
    </row>
    <row r="197" spans="1:44" s="190" customFormat="1" x14ac:dyDescent="0.25">
      <c r="A197" s="398"/>
      <c r="B197" s="8"/>
      <c r="C197" s="8"/>
      <c r="D197" s="8"/>
      <c r="E197" s="8"/>
      <c r="F197" s="191"/>
      <c r="G197" s="8"/>
      <c r="H197" s="38"/>
      <c r="I197" s="15"/>
      <c r="J197" s="6"/>
      <c r="K197" s="65"/>
      <c r="L197" s="259">
        <f>SUM(K195:K196)</f>
        <v>32920027.880000003</v>
      </c>
      <c r="M197" s="259"/>
      <c r="N197" s="8"/>
      <c r="O197" s="8"/>
      <c r="P197" s="6"/>
      <c r="Q197" s="6"/>
      <c r="R197" s="6"/>
      <c r="S197" s="42">
        <f>L197-S195</f>
        <v>5691285.0400000028</v>
      </c>
      <c r="T197" s="42"/>
      <c r="U197" s="42"/>
      <c r="V197" s="42"/>
      <c r="W197" s="42"/>
      <c r="X197" s="42"/>
      <c r="Y197" s="42"/>
      <c r="Z197" s="42"/>
      <c r="AA197" s="42"/>
      <c r="AB197" s="42"/>
      <c r="AC197" s="42"/>
      <c r="AD197" s="42"/>
      <c r="AE197" s="42"/>
      <c r="AF197" s="42"/>
      <c r="AG197" s="189"/>
      <c r="AH197" s="189"/>
      <c r="AI197" s="189"/>
      <c r="AJ197" s="189"/>
      <c r="AK197" s="109"/>
      <c r="AL197" s="189"/>
      <c r="AM197" s="189"/>
      <c r="AN197" s="109"/>
    </row>
    <row r="198" spans="1:44" s="138" customFormat="1" ht="165" x14ac:dyDescent="0.25">
      <c r="A198" s="28">
        <v>1</v>
      </c>
      <c r="B198" s="98" t="s">
        <v>75</v>
      </c>
      <c r="C198" s="98" t="s">
        <v>74</v>
      </c>
      <c r="D198" s="418">
        <v>2725059439</v>
      </c>
      <c r="E198" s="98">
        <v>1000114970</v>
      </c>
      <c r="F198" s="409" t="s">
        <v>4582</v>
      </c>
      <c r="G198" s="98">
        <v>8000718219</v>
      </c>
      <c r="H198" s="99">
        <v>45733</v>
      </c>
      <c r="I198" s="100" t="s">
        <v>415</v>
      </c>
      <c r="J198" s="100" t="s">
        <v>368</v>
      </c>
      <c r="K198" s="101">
        <v>56056023.159999996</v>
      </c>
      <c r="L198" s="101"/>
      <c r="M198" s="100" t="s">
        <v>416</v>
      </c>
      <c r="N198" s="100" t="s">
        <v>417</v>
      </c>
      <c r="O198" s="100"/>
      <c r="P198" s="100" t="s">
        <v>418</v>
      </c>
      <c r="Q198" s="100" t="s">
        <v>168</v>
      </c>
      <c r="R198" s="100" t="s">
        <v>4583</v>
      </c>
      <c r="S198" s="429">
        <v>69170453.260000005</v>
      </c>
      <c r="T198" s="429">
        <v>69170453.260000005</v>
      </c>
      <c r="U198" s="429">
        <v>3000000</v>
      </c>
      <c r="V198" s="50"/>
      <c r="W198" s="50"/>
      <c r="X198" s="50"/>
      <c r="Y198" s="50"/>
      <c r="Z198" s="50"/>
      <c r="AA198" s="28"/>
      <c r="AB198" s="57"/>
      <c r="AC198" s="28"/>
      <c r="AD198" s="28"/>
      <c r="AE198" s="28"/>
      <c r="AF198" s="400" t="s">
        <v>1561</v>
      </c>
      <c r="AG198" s="28" t="s">
        <v>1152</v>
      </c>
      <c r="AH198" s="28" t="s">
        <v>1410</v>
      </c>
      <c r="AI198" s="28" t="s">
        <v>1702</v>
      </c>
      <c r="AJ198" s="28" t="s">
        <v>1702</v>
      </c>
      <c r="AK198" s="50" t="s">
        <v>4630</v>
      </c>
      <c r="AL198" s="433" t="s">
        <v>1562</v>
      </c>
      <c r="AM198" s="28" t="s">
        <v>4567</v>
      </c>
      <c r="AN198" s="464" t="s">
        <v>4645</v>
      </c>
      <c r="AR198" s="138">
        <v>1</v>
      </c>
    </row>
    <row r="199" spans="1:44" s="2" customFormat="1" ht="90" x14ac:dyDescent="0.25">
      <c r="A199" s="28"/>
      <c r="B199" s="98" t="s">
        <v>75</v>
      </c>
      <c r="C199" s="98" t="s">
        <v>74</v>
      </c>
      <c r="D199" s="418">
        <v>2725059439</v>
      </c>
      <c r="E199" s="98">
        <v>1000114970</v>
      </c>
      <c r="F199" s="108" t="s">
        <v>1113</v>
      </c>
      <c r="G199" s="98">
        <v>9000573727</v>
      </c>
      <c r="H199" s="75">
        <v>45957</v>
      </c>
      <c r="I199" s="100" t="s">
        <v>181</v>
      </c>
      <c r="J199" s="100" t="s">
        <v>357</v>
      </c>
      <c r="K199" s="101">
        <v>14076646.109999999</v>
      </c>
      <c r="L199" s="101"/>
      <c r="M199" s="100"/>
      <c r="N199" s="100"/>
      <c r="O199" s="100"/>
      <c r="P199" s="98" t="s">
        <v>1114</v>
      </c>
      <c r="Q199" s="98" t="s">
        <v>168</v>
      </c>
      <c r="R199" s="98" t="s">
        <v>105</v>
      </c>
      <c r="S199" s="98"/>
      <c r="T199" s="100"/>
      <c r="U199" s="100"/>
      <c r="V199" s="50"/>
      <c r="W199" s="50"/>
      <c r="X199" s="50"/>
      <c r="Y199" s="50"/>
      <c r="Z199" s="50"/>
      <c r="AA199" s="28"/>
      <c r="AB199" s="28" t="s">
        <v>1115</v>
      </c>
      <c r="AC199" s="28"/>
      <c r="AD199" s="28"/>
      <c r="AE199" s="28"/>
      <c r="AF199" s="28"/>
      <c r="AG199" s="205" t="s">
        <v>1112</v>
      </c>
      <c r="AH199" s="28"/>
      <c r="AI199" s="28"/>
      <c r="AJ199" s="28"/>
      <c r="AK199" s="51"/>
      <c r="AL199" s="63"/>
      <c r="AM199" s="28"/>
      <c r="AN199" s="51"/>
    </row>
    <row r="200" spans="1:44" s="190" customFormat="1" x14ac:dyDescent="0.25">
      <c r="A200" s="398"/>
      <c r="B200" s="8"/>
      <c r="C200" s="8"/>
      <c r="D200" s="8"/>
      <c r="E200" s="8"/>
      <c r="F200" s="191"/>
      <c r="G200" s="8"/>
      <c r="H200" s="38"/>
      <c r="I200" s="15"/>
      <c r="J200" s="6"/>
      <c r="K200" s="65"/>
      <c r="L200" s="259">
        <f>SUM(K198:K199)</f>
        <v>70132669.269999996</v>
      </c>
      <c r="M200" s="259"/>
      <c r="N200" s="8"/>
      <c r="O200" s="8"/>
      <c r="P200" s="6"/>
      <c r="Q200" s="6"/>
      <c r="R200" s="6"/>
      <c r="S200" s="42">
        <f>L200-S198</f>
        <v>962216.00999999046</v>
      </c>
      <c r="T200" s="42"/>
      <c r="U200" s="42"/>
      <c r="V200" s="42"/>
      <c r="W200" s="42"/>
      <c r="X200" s="42"/>
      <c r="Y200" s="42"/>
      <c r="Z200" s="42"/>
      <c r="AA200" s="42"/>
      <c r="AB200" s="42"/>
      <c r="AC200" s="42"/>
      <c r="AD200" s="42"/>
      <c r="AE200" s="42"/>
      <c r="AF200" s="42"/>
      <c r="AG200" s="189"/>
      <c r="AH200" s="189"/>
      <c r="AI200" s="189"/>
      <c r="AJ200" s="189"/>
      <c r="AK200" s="109"/>
      <c r="AL200" s="189"/>
      <c r="AM200" s="189"/>
      <c r="AN200" s="109"/>
    </row>
    <row r="201" spans="1:44" s="138" customFormat="1" ht="180" x14ac:dyDescent="0.25">
      <c r="A201" s="28">
        <v>1</v>
      </c>
      <c r="B201" s="98" t="s">
        <v>133</v>
      </c>
      <c r="C201" s="98" t="s">
        <v>46</v>
      </c>
      <c r="D201" s="418">
        <v>2722052259</v>
      </c>
      <c r="E201" s="98">
        <v>1000105100</v>
      </c>
      <c r="F201" s="108" t="s">
        <v>554</v>
      </c>
      <c r="G201" s="98">
        <v>8000739707</v>
      </c>
      <c r="H201" s="99">
        <v>45818</v>
      </c>
      <c r="I201" s="100" t="s">
        <v>555</v>
      </c>
      <c r="J201" s="100" t="s">
        <v>368</v>
      </c>
      <c r="K201" s="101">
        <v>7640410.0700000003</v>
      </c>
      <c r="L201" s="101"/>
      <c r="M201" s="100" t="s">
        <v>557</v>
      </c>
      <c r="N201" s="100" t="s">
        <v>371</v>
      </c>
      <c r="O201" s="100"/>
      <c r="P201" s="100" t="s">
        <v>556</v>
      </c>
      <c r="Q201" s="100" t="s">
        <v>13</v>
      </c>
      <c r="R201" s="100" t="s">
        <v>39</v>
      </c>
      <c r="S201" s="429">
        <v>4114757.82</v>
      </c>
      <c r="T201" s="429">
        <v>4114757.82</v>
      </c>
      <c r="U201" s="429">
        <v>1528082.01</v>
      </c>
      <c r="V201" s="50"/>
      <c r="W201" s="50"/>
      <c r="X201" s="50"/>
      <c r="Y201" s="50"/>
      <c r="Z201" s="50"/>
      <c r="AA201" s="28"/>
      <c r="AB201" s="57" t="s">
        <v>410</v>
      </c>
      <c r="AC201" s="28"/>
      <c r="AD201" s="28"/>
      <c r="AE201" s="28"/>
      <c r="AF201" s="400" t="s">
        <v>795</v>
      </c>
      <c r="AG201" s="400" t="s">
        <v>794</v>
      </c>
      <c r="AH201" s="433" t="s">
        <v>1361</v>
      </c>
      <c r="AI201" s="28"/>
      <c r="AJ201" s="28" t="s">
        <v>1147</v>
      </c>
      <c r="AK201" s="50" t="s">
        <v>4688</v>
      </c>
      <c r="AL201" s="433" t="s">
        <v>1361</v>
      </c>
      <c r="AM201" s="28" t="s">
        <v>4568</v>
      </c>
      <c r="AN201" s="462" t="s">
        <v>4642</v>
      </c>
      <c r="AP201" s="138">
        <v>1</v>
      </c>
    </row>
    <row r="202" spans="1:44" s="190" customFormat="1" x14ac:dyDescent="0.25">
      <c r="A202" s="398"/>
      <c r="B202" s="8"/>
      <c r="C202" s="8"/>
      <c r="D202" s="8"/>
      <c r="E202" s="8"/>
      <c r="F202" s="191"/>
      <c r="G202" s="8"/>
      <c r="H202" s="38"/>
      <c r="I202" s="15"/>
      <c r="J202" s="6"/>
      <c r="K202" s="65"/>
      <c r="L202" s="259">
        <f>K201+L201</f>
        <v>7640410.0700000003</v>
      </c>
      <c r="M202" s="259"/>
      <c r="N202" s="8"/>
      <c r="O202" s="8"/>
      <c r="P202" s="6"/>
      <c r="Q202" s="6"/>
      <c r="R202" s="6"/>
      <c r="S202" s="42">
        <f>L202-S201</f>
        <v>3525652.2500000005</v>
      </c>
      <c r="T202" s="42"/>
      <c r="U202" s="42"/>
      <c r="V202" s="42"/>
      <c r="W202" s="42"/>
      <c r="X202" s="42"/>
      <c r="Y202" s="42"/>
      <c r="Z202" s="42"/>
      <c r="AA202" s="42"/>
      <c r="AB202" s="42"/>
      <c r="AC202" s="42"/>
      <c r="AD202" s="42"/>
      <c r="AE202" s="42"/>
      <c r="AF202" s="42"/>
      <c r="AG202" s="189"/>
      <c r="AH202" s="189"/>
      <c r="AI202" s="189"/>
      <c r="AJ202" s="189"/>
      <c r="AK202" s="109"/>
      <c r="AL202" s="189"/>
      <c r="AM202" s="189"/>
      <c r="AN202" s="109"/>
    </row>
    <row r="203" spans="1:44" s="138" customFormat="1" ht="135" x14ac:dyDescent="0.25">
      <c r="A203" s="28">
        <v>1</v>
      </c>
      <c r="B203" s="516" t="s">
        <v>649</v>
      </c>
      <c r="C203" s="98" t="s">
        <v>650</v>
      </c>
      <c r="D203" s="418">
        <v>2721191757</v>
      </c>
      <c r="E203" s="516">
        <v>1000165827</v>
      </c>
      <c r="F203" s="108" t="s">
        <v>651</v>
      </c>
      <c r="G203" s="98">
        <v>8000744352</v>
      </c>
      <c r="H203" s="99">
        <v>45838</v>
      </c>
      <c r="I203" s="100" t="s">
        <v>652</v>
      </c>
      <c r="J203" s="100" t="s">
        <v>653</v>
      </c>
      <c r="K203" s="101">
        <v>1201220.33</v>
      </c>
      <c r="L203" s="101"/>
      <c r="M203" s="100" t="s">
        <v>654</v>
      </c>
      <c r="N203" s="100" t="s">
        <v>655</v>
      </c>
      <c r="O203" s="100" t="s">
        <v>1061</v>
      </c>
      <c r="P203" s="98" t="s">
        <v>656</v>
      </c>
      <c r="Q203" s="98" t="s">
        <v>168</v>
      </c>
      <c r="R203" s="98" t="s">
        <v>657</v>
      </c>
      <c r="S203" s="429">
        <v>1024810.5</v>
      </c>
      <c r="T203" s="429">
        <v>1024810.5</v>
      </c>
      <c r="U203" s="429">
        <v>0</v>
      </c>
      <c r="V203" s="50"/>
      <c r="W203" s="50"/>
      <c r="X203" s="50"/>
      <c r="Y203" s="50"/>
      <c r="Z203" s="50"/>
      <c r="AA203" s="28"/>
      <c r="AB203" s="57" t="s">
        <v>278</v>
      </c>
      <c r="AC203" s="28"/>
      <c r="AD203" s="28"/>
      <c r="AE203" s="28"/>
      <c r="AF203" s="400" t="s">
        <v>1116</v>
      </c>
      <c r="AG203" s="400" t="s">
        <v>1062</v>
      </c>
      <c r="AH203" s="433" t="s">
        <v>1362</v>
      </c>
      <c r="AI203" s="28"/>
      <c r="AJ203" s="28"/>
      <c r="AK203" s="50" t="s">
        <v>4631</v>
      </c>
      <c r="AL203" s="433" t="s">
        <v>4469</v>
      </c>
      <c r="AM203" s="28" t="s">
        <v>4569</v>
      </c>
      <c r="AN203" s="462" t="s">
        <v>4642</v>
      </c>
      <c r="AP203" s="138">
        <v>1</v>
      </c>
    </row>
    <row r="204" spans="1:44" s="138" customFormat="1" ht="30" x14ac:dyDescent="0.25">
      <c r="A204" s="28"/>
      <c r="B204" s="516"/>
      <c r="C204" s="98"/>
      <c r="D204" s="418"/>
      <c r="E204" s="516"/>
      <c r="F204" s="108" t="s">
        <v>1057</v>
      </c>
      <c r="G204" s="98">
        <v>9000560682</v>
      </c>
      <c r="H204" s="99">
        <v>45888</v>
      </c>
      <c r="I204" s="100" t="s">
        <v>1058</v>
      </c>
      <c r="J204" s="100" t="s">
        <v>748</v>
      </c>
      <c r="K204" s="101">
        <v>0</v>
      </c>
      <c r="L204" s="101"/>
      <c r="M204" s="100" t="s">
        <v>11</v>
      </c>
      <c r="N204" s="100" t="s">
        <v>1059</v>
      </c>
      <c r="O204" s="100"/>
      <c r="P204" s="98" t="s">
        <v>1060</v>
      </c>
      <c r="Q204" s="98" t="s">
        <v>13</v>
      </c>
      <c r="R204" s="98" t="s">
        <v>1003</v>
      </c>
      <c r="S204" s="101"/>
      <c r="T204" s="101"/>
      <c r="U204" s="101"/>
      <c r="V204" s="50"/>
      <c r="W204" s="50"/>
      <c r="X204" s="50"/>
      <c r="Y204" s="50"/>
      <c r="Z204" s="50"/>
      <c r="AA204" s="28"/>
      <c r="AB204" s="57"/>
      <c r="AC204" s="28"/>
      <c r="AD204" s="28"/>
      <c r="AE204" s="28"/>
      <c r="AF204" s="400"/>
      <c r="AG204" s="400"/>
      <c r="AH204" s="433"/>
      <c r="AI204" s="28"/>
      <c r="AJ204" s="28"/>
      <c r="AK204" s="50"/>
      <c r="AL204" s="28"/>
      <c r="AM204" s="28"/>
      <c r="AN204" s="51"/>
    </row>
    <row r="205" spans="1:44" s="190" customFormat="1" x14ac:dyDescent="0.25">
      <c r="A205" s="398"/>
      <c r="B205" s="8"/>
      <c r="C205" s="8"/>
      <c r="D205" s="8"/>
      <c r="E205" s="8"/>
      <c r="F205" s="191"/>
      <c r="G205" s="8"/>
      <c r="H205" s="38"/>
      <c r="I205" s="15"/>
      <c r="J205" s="6"/>
      <c r="K205" s="65"/>
      <c r="L205" s="259">
        <v>1201220.33</v>
      </c>
      <c r="M205" s="259"/>
      <c r="N205" s="8"/>
      <c r="O205" s="8"/>
      <c r="P205" s="6"/>
      <c r="Q205" s="6"/>
      <c r="R205" s="6"/>
      <c r="S205" s="42">
        <f>L205-S203</f>
        <v>176409.83000000007</v>
      </c>
      <c r="T205" s="42"/>
      <c r="U205" s="42"/>
      <c r="V205" s="42"/>
      <c r="W205" s="42"/>
      <c r="X205" s="42"/>
      <c r="Y205" s="42"/>
      <c r="Z205" s="42"/>
      <c r="AA205" s="42"/>
      <c r="AB205" s="42"/>
      <c r="AC205" s="42"/>
      <c r="AD205" s="42"/>
      <c r="AE205" s="42"/>
      <c r="AF205" s="42"/>
      <c r="AG205" s="189"/>
      <c r="AH205" s="189"/>
      <c r="AI205" s="189"/>
      <c r="AJ205" s="189"/>
      <c r="AK205" s="109"/>
      <c r="AL205" s="189"/>
      <c r="AM205" s="189"/>
      <c r="AN205" s="109"/>
    </row>
    <row r="206" spans="1:44" s="138" customFormat="1" ht="180" x14ac:dyDescent="0.25">
      <c r="A206" s="28">
        <v>1</v>
      </c>
      <c r="B206" s="98" t="s">
        <v>277</v>
      </c>
      <c r="C206" s="98" t="s">
        <v>311</v>
      </c>
      <c r="D206" s="418">
        <v>2721191757</v>
      </c>
      <c r="E206" s="98">
        <v>1000165827</v>
      </c>
      <c r="F206" s="108" t="s">
        <v>310</v>
      </c>
      <c r="G206" s="98">
        <v>8000676124</v>
      </c>
      <c r="H206" s="99">
        <v>45588</v>
      </c>
      <c r="I206" s="100" t="s">
        <v>312</v>
      </c>
      <c r="J206" s="100" t="s">
        <v>313</v>
      </c>
      <c r="K206" s="101">
        <v>10181342.91</v>
      </c>
      <c r="L206" s="101"/>
      <c r="M206" s="100" t="s">
        <v>11</v>
      </c>
      <c r="N206" s="100" t="s">
        <v>314</v>
      </c>
      <c r="O206" s="100"/>
      <c r="P206" s="98" t="s">
        <v>315</v>
      </c>
      <c r="Q206" s="98" t="s">
        <v>13</v>
      </c>
      <c r="R206" s="100" t="s">
        <v>959</v>
      </c>
      <c r="S206" s="429">
        <v>9697895.6899999995</v>
      </c>
      <c r="T206" s="429">
        <v>9697895.6899999995</v>
      </c>
      <c r="U206" s="429">
        <v>3000000</v>
      </c>
      <c r="V206" s="50"/>
      <c r="W206" s="50"/>
      <c r="X206" s="50"/>
      <c r="Y206" s="50"/>
      <c r="Z206" s="50"/>
      <c r="AA206" s="28"/>
      <c r="AB206" s="57" t="s">
        <v>278</v>
      </c>
      <c r="AC206" s="28"/>
      <c r="AD206" s="28" t="s">
        <v>606</v>
      </c>
      <c r="AE206" s="28" t="s">
        <v>607</v>
      </c>
      <c r="AF206" s="400" t="s">
        <v>1121</v>
      </c>
      <c r="AG206" s="400" t="s">
        <v>1122</v>
      </c>
      <c r="AH206" s="433" t="s">
        <v>1363</v>
      </c>
      <c r="AI206" s="28" t="s">
        <v>1135</v>
      </c>
      <c r="AJ206" s="28" t="s">
        <v>1411</v>
      </c>
      <c r="AK206" s="50" t="s">
        <v>4632</v>
      </c>
      <c r="AL206" s="433" t="s">
        <v>1363</v>
      </c>
      <c r="AM206" s="28" t="s">
        <v>4570</v>
      </c>
      <c r="AN206" s="464" t="s">
        <v>4646</v>
      </c>
      <c r="AR206" s="138">
        <v>1</v>
      </c>
    </row>
    <row r="207" spans="1:44" s="138" customFormat="1" ht="75" x14ac:dyDescent="0.25">
      <c r="A207" s="28"/>
      <c r="B207" s="98" t="s">
        <v>277</v>
      </c>
      <c r="C207" s="98" t="s">
        <v>311</v>
      </c>
      <c r="D207" s="418">
        <v>2721191757</v>
      </c>
      <c r="E207" s="98">
        <v>1000165827</v>
      </c>
      <c r="F207" s="108" t="s">
        <v>729</v>
      </c>
      <c r="G207" s="98">
        <v>9000534133</v>
      </c>
      <c r="H207" s="99">
        <v>45747</v>
      </c>
      <c r="I207" s="100" t="s">
        <v>438</v>
      </c>
      <c r="J207" s="100" t="s">
        <v>313</v>
      </c>
      <c r="K207" s="101">
        <v>0</v>
      </c>
      <c r="L207" s="101"/>
      <c r="M207" s="100" t="s">
        <v>11</v>
      </c>
      <c r="N207" s="100" t="s">
        <v>439</v>
      </c>
      <c r="O207" s="100"/>
      <c r="P207" s="98" t="s">
        <v>440</v>
      </c>
      <c r="Q207" s="98" t="s">
        <v>13</v>
      </c>
      <c r="R207" s="100" t="s">
        <v>39</v>
      </c>
      <c r="S207" s="101"/>
      <c r="T207" s="101"/>
      <c r="U207" s="101"/>
      <c r="V207" s="50"/>
      <c r="W207" s="50"/>
      <c r="X207" s="50"/>
      <c r="Y207" s="50"/>
      <c r="Z207" s="50"/>
      <c r="AA207" s="28"/>
      <c r="AB207" s="57" t="s">
        <v>278</v>
      </c>
      <c r="AC207" s="28"/>
      <c r="AD207" s="28"/>
      <c r="AE207" s="28"/>
      <c r="AF207" s="400"/>
      <c r="AG207" s="28"/>
      <c r="AH207" s="433"/>
      <c r="AI207" s="28"/>
      <c r="AJ207" s="28"/>
      <c r="AK207" s="50"/>
      <c r="AL207" s="28"/>
      <c r="AM207" s="28"/>
      <c r="AN207" s="51"/>
    </row>
    <row r="208" spans="1:44" s="190" customFormat="1" x14ac:dyDescent="0.25">
      <c r="A208" s="398"/>
      <c r="B208" s="8"/>
      <c r="C208" s="8"/>
      <c r="D208" s="8"/>
      <c r="E208" s="8"/>
      <c r="F208" s="191"/>
      <c r="G208" s="8"/>
      <c r="H208" s="38"/>
      <c r="I208" s="15"/>
      <c r="J208" s="6"/>
      <c r="K208" s="65"/>
      <c r="L208" s="259">
        <f>K206</f>
        <v>10181342.91</v>
      </c>
      <c r="M208" s="259"/>
      <c r="N208" s="8"/>
      <c r="O208" s="8"/>
      <c r="P208" s="6"/>
      <c r="Q208" s="6"/>
      <c r="R208" s="6"/>
      <c r="S208" s="42">
        <f>L208-S206</f>
        <v>483447.22000000067</v>
      </c>
      <c r="T208" s="42"/>
      <c r="U208" s="42"/>
      <c r="V208" s="42"/>
      <c r="W208" s="42"/>
      <c r="X208" s="42"/>
      <c r="Y208" s="42"/>
      <c r="Z208" s="42"/>
      <c r="AA208" s="42"/>
      <c r="AB208" s="42"/>
      <c r="AC208" s="42"/>
      <c r="AD208" s="42"/>
      <c r="AE208" s="42"/>
      <c r="AF208" s="42"/>
      <c r="AG208" s="189"/>
      <c r="AH208" s="189"/>
      <c r="AI208" s="189"/>
      <c r="AJ208" s="189"/>
      <c r="AK208" s="109"/>
      <c r="AL208" s="189"/>
      <c r="AM208" s="189"/>
      <c r="AN208" s="109"/>
    </row>
    <row r="209" spans="1:47" s="138" customFormat="1" ht="297.75" customHeight="1" x14ac:dyDescent="0.25">
      <c r="A209" s="28">
        <v>1</v>
      </c>
      <c r="B209" s="98" t="s">
        <v>323</v>
      </c>
      <c r="C209" s="98" t="s">
        <v>324</v>
      </c>
      <c r="D209" s="418">
        <v>2703097800</v>
      </c>
      <c r="E209" s="98">
        <v>1000105103</v>
      </c>
      <c r="F209" s="108" t="s">
        <v>412</v>
      </c>
      <c r="G209" s="98">
        <v>8000710080</v>
      </c>
      <c r="H209" s="99">
        <v>45708</v>
      </c>
      <c r="I209" s="100" t="s">
        <v>413</v>
      </c>
      <c r="J209" s="100" t="s">
        <v>368</v>
      </c>
      <c r="K209" s="101">
        <v>38797929.590000004</v>
      </c>
      <c r="L209" s="101"/>
      <c r="M209" s="100" t="s">
        <v>11</v>
      </c>
      <c r="N209" s="100" t="s">
        <v>420</v>
      </c>
      <c r="O209" s="100"/>
      <c r="P209" s="98" t="s">
        <v>414</v>
      </c>
      <c r="Q209" s="98" t="s">
        <v>13</v>
      </c>
      <c r="R209" s="100" t="s">
        <v>873</v>
      </c>
      <c r="S209" s="429">
        <v>37685488.100000001</v>
      </c>
      <c r="T209" s="429">
        <v>37685488.100000001</v>
      </c>
      <c r="U209" s="429">
        <v>0</v>
      </c>
      <c r="V209" s="50"/>
      <c r="W209" s="50"/>
      <c r="X209" s="50"/>
      <c r="Y209" s="50"/>
      <c r="Z209" s="50"/>
      <c r="AA209" s="28"/>
      <c r="AB209" s="57"/>
      <c r="AC209" s="28"/>
      <c r="AD209" s="28"/>
      <c r="AE209" s="28"/>
      <c r="AF209" s="400" t="s">
        <v>1123</v>
      </c>
      <c r="AG209" s="400"/>
      <c r="AH209" s="433" t="s">
        <v>1364</v>
      </c>
      <c r="AI209" s="28"/>
      <c r="AJ209" s="28" t="s">
        <v>1153</v>
      </c>
      <c r="AK209" s="50" t="s">
        <v>4689</v>
      </c>
      <c r="AL209" s="433" t="s">
        <v>1560</v>
      </c>
      <c r="AM209" s="28" t="s">
        <v>4571</v>
      </c>
      <c r="AN209" s="462" t="s">
        <v>4642</v>
      </c>
      <c r="AP209" s="138">
        <v>1</v>
      </c>
    </row>
    <row r="210" spans="1:47" s="190" customFormat="1" x14ac:dyDescent="0.25">
      <c r="A210" s="398"/>
      <c r="B210" s="8"/>
      <c r="C210" s="8"/>
      <c r="D210" s="8"/>
      <c r="E210" s="8"/>
      <c r="F210" s="191"/>
      <c r="G210" s="8"/>
      <c r="H210" s="38"/>
      <c r="I210" s="15"/>
      <c r="J210" s="6"/>
      <c r="K210" s="65"/>
      <c r="L210" s="259">
        <f>SUM(K209)</f>
        <v>38797929.590000004</v>
      </c>
      <c r="M210" s="259"/>
      <c r="N210" s="8"/>
      <c r="O210" s="8"/>
      <c r="P210" s="6"/>
      <c r="Q210" s="6"/>
      <c r="R210" s="6"/>
      <c r="S210" s="42">
        <f>L210-T209</f>
        <v>1112441.4900000021</v>
      </c>
      <c r="T210" s="42"/>
      <c r="U210" s="42"/>
      <c r="V210" s="42"/>
      <c r="W210" s="42"/>
      <c r="X210" s="42"/>
      <c r="Y210" s="42"/>
      <c r="Z210" s="42"/>
      <c r="AA210" s="42"/>
      <c r="AB210" s="42"/>
      <c r="AC210" s="42"/>
      <c r="AD210" s="42"/>
      <c r="AE210" s="42"/>
      <c r="AF210" s="42"/>
      <c r="AG210" s="189"/>
      <c r="AH210" s="189"/>
      <c r="AI210" s="189"/>
      <c r="AJ210" s="189"/>
      <c r="AK210" s="109"/>
      <c r="AL210" s="189"/>
      <c r="AM210" s="189"/>
      <c r="AN210" s="109"/>
    </row>
    <row r="211" spans="1:47" s="138" customFormat="1" ht="138" customHeight="1" x14ac:dyDescent="0.25">
      <c r="A211" s="28">
        <v>1</v>
      </c>
      <c r="B211" s="98" t="s">
        <v>20</v>
      </c>
      <c r="C211" s="98" t="s">
        <v>690</v>
      </c>
      <c r="D211" s="418">
        <v>2540188760</v>
      </c>
      <c r="E211" s="98">
        <v>1000105098</v>
      </c>
      <c r="F211" s="108" t="s">
        <v>696</v>
      </c>
      <c r="G211" s="98">
        <v>8000747834</v>
      </c>
      <c r="H211" s="99">
        <v>45847</v>
      </c>
      <c r="I211" s="100" t="s">
        <v>697</v>
      </c>
      <c r="J211" s="100" t="s">
        <v>162</v>
      </c>
      <c r="K211" s="101">
        <v>123325902.86</v>
      </c>
      <c r="L211" s="101"/>
      <c r="M211" s="100" t="s">
        <v>11</v>
      </c>
      <c r="N211" s="100" t="s">
        <v>698</v>
      </c>
      <c r="O211" s="100"/>
      <c r="P211" s="98" t="s">
        <v>693</v>
      </c>
      <c r="Q211" s="98" t="s">
        <v>168</v>
      </c>
      <c r="R211" s="100"/>
      <c r="S211" s="429">
        <v>114407256.59</v>
      </c>
      <c r="T211" s="429">
        <v>114407256.59</v>
      </c>
      <c r="U211" s="429">
        <v>0</v>
      </c>
      <c r="V211" s="50"/>
      <c r="W211" s="50"/>
      <c r="X211" s="50"/>
      <c r="Y211" s="50"/>
      <c r="Z211" s="50"/>
      <c r="AA211" s="28"/>
      <c r="AB211" s="57" t="s">
        <v>695</v>
      </c>
      <c r="AC211" s="28"/>
      <c r="AD211" s="28"/>
      <c r="AE211" s="28"/>
      <c r="AF211" s="400" t="s">
        <v>1124</v>
      </c>
      <c r="AG211" s="400" t="s">
        <v>1125</v>
      </c>
      <c r="AH211" s="433" t="s">
        <v>1365</v>
      </c>
      <c r="AI211" s="28" t="s">
        <v>973</v>
      </c>
      <c r="AJ211" s="28" t="s">
        <v>1154</v>
      </c>
      <c r="AK211" s="50" t="s">
        <v>4633</v>
      </c>
      <c r="AL211" s="433" t="s">
        <v>1559</v>
      </c>
      <c r="AM211" s="28" t="s">
        <v>4572</v>
      </c>
      <c r="AN211" s="464" t="s">
        <v>4643</v>
      </c>
      <c r="AR211" s="138">
        <v>1</v>
      </c>
    </row>
    <row r="212" spans="1:47" s="190" customFormat="1" x14ac:dyDescent="0.25">
      <c r="A212" s="398"/>
      <c r="B212" s="8"/>
      <c r="C212" s="8"/>
      <c r="D212" s="8"/>
      <c r="E212" s="8"/>
      <c r="F212" s="191"/>
      <c r="G212" s="8"/>
      <c r="H212" s="38"/>
      <c r="I212" s="15"/>
      <c r="J212" s="6"/>
      <c r="K212" s="65"/>
      <c r="L212" s="259">
        <f>SUM(K211:K212)</f>
        <v>123325902.86</v>
      </c>
      <c r="M212" s="259"/>
      <c r="N212" s="8"/>
      <c r="O212" s="8"/>
      <c r="P212" s="6"/>
      <c r="Q212" s="6"/>
      <c r="R212" s="6"/>
      <c r="S212" s="42">
        <f>L212-S211</f>
        <v>8918646.2699999958</v>
      </c>
      <c r="T212" s="42"/>
      <c r="U212" s="42"/>
      <c r="V212" s="42"/>
      <c r="W212" s="42"/>
      <c r="X212" s="42"/>
      <c r="Y212" s="42"/>
      <c r="Z212" s="42"/>
      <c r="AA212" s="42"/>
      <c r="AB212" s="42"/>
      <c r="AC212" s="42"/>
      <c r="AD212" s="42"/>
      <c r="AE212" s="42"/>
      <c r="AF212" s="42"/>
      <c r="AG212" s="189"/>
      <c r="AH212" s="189"/>
      <c r="AI212" s="189"/>
      <c r="AJ212" s="189"/>
      <c r="AK212" s="109"/>
      <c r="AL212" s="189"/>
      <c r="AM212" s="189"/>
      <c r="AN212" s="109"/>
    </row>
    <row r="213" spans="1:47" s="138" customFormat="1" ht="120" x14ac:dyDescent="0.25">
      <c r="A213" s="28">
        <v>1</v>
      </c>
      <c r="B213" s="98" t="s">
        <v>308</v>
      </c>
      <c r="C213" s="98" t="s">
        <v>309</v>
      </c>
      <c r="D213" s="418">
        <v>2453012311</v>
      </c>
      <c r="E213" s="98">
        <v>1000094590</v>
      </c>
      <c r="F213" s="108" t="s">
        <v>562</v>
      </c>
      <c r="G213" s="98">
        <v>8000738950</v>
      </c>
      <c r="H213" s="99">
        <v>45826</v>
      </c>
      <c r="I213" s="100" t="s">
        <v>563</v>
      </c>
      <c r="J213" s="100" t="s">
        <v>357</v>
      </c>
      <c r="K213" s="101">
        <v>33627229.229999997</v>
      </c>
      <c r="L213" s="101"/>
      <c r="M213" s="100" t="s">
        <v>11</v>
      </c>
      <c r="N213" s="100" t="s">
        <v>564</v>
      </c>
      <c r="O213" s="100"/>
      <c r="P213" s="98" t="s">
        <v>565</v>
      </c>
      <c r="Q213" s="98" t="s">
        <v>168</v>
      </c>
      <c r="R213" s="98" t="s">
        <v>476</v>
      </c>
      <c r="S213" s="429">
        <v>18176850.399999999</v>
      </c>
      <c r="T213" s="429">
        <v>18176850.399999999</v>
      </c>
      <c r="U213" s="429">
        <v>0</v>
      </c>
      <c r="V213" s="50"/>
      <c r="W213" s="50"/>
      <c r="X213" s="50"/>
      <c r="Y213" s="50"/>
      <c r="Z213" s="50"/>
      <c r="AA213" s="28"/>
      <c r="AB213" s="57" t="s">
        <v>240</v>
      </c>
      <c r="AC213" s="28"/>
      <c r="AD213" s="28"/>
      <c r="AE213" s="28"/>
      <c r="AF213" s="400" t="s">
        <v>1555</v>
      </c>
      <c r="AG213" s="400" t="s">
        <v>933</v>
      </c>
      <c r="AH213" s="400" t="s">
        <v>1370</v>
      </c>
      <c r="AI213" s="28" t="s">
        <v>1703</v>
      </c>
      <c r="AJ213" s="28" t="s">
        <v>1703</v>
      </c>
      <c r="AK213" s="50" t="s">
        <v>4641</v>
      </c>
      <c r="AL213" s="400" t="s">
        <v>1558</v>
      </c>
      <c r="AM213" s="28" t="s">
        <v>4573</v>
      </c>
      <c r="AN213" s="464" t="s">
        <v>4647</v>
      </c>
      <c r="AR213" s="138">
        <v>1</v>
      </c>
      <c r="AU213" s="485" t="s">
        <v>4787</v>
      </c>
    </row>
    <row r="214" spans="1:47" s="138" customFormat="1" ht="105" x14ac:dyDescent="0.25">
      <c r="A214" s="28"/>
      <c r="B214" s="98" t="s">
        <v>308</v>
      </c>
      <c r="C214" s="98" t="s">
        <v>309</v>
      </c>
      <c r="D214" s="418">
        <v>2453012311</v>
      </c>
      <c r="E214" s="98">
        <v>1000094590</v>
      </c>
      <c r="F214" s="108" t="s">
        <v>1556</v>
      </c>
      <c r="G214" s="98">
        <v>9000595453</v>
      </c>
      <c r="H214" s="99">
        <v>46017</v>
      </c>
      <c r="I214" s="100" t="s">
        <v>563</v>
      </c>
      <c r="J214" s="100" t="s">
        <v>357</v>
      </c>
      <c r="K214" s="101">
        <v>0</v>
      </c>
      <c r="L214" s="101"/>
      <c r="M214" s="100" t="s">
        <v>11</v>
      </c>
      <c r="N214" s="100" t="s">
        <v>1557</v>
      </c>
      <c r="O214" s="100"/>
      <c r="P214" s="98" t="s">
        <v>565</v>
      </c>
      <c r="Q214" s="98" t="s">
        <v>168</v>
      </c>
      <c r="R214" s="98" t="s">
        <v>476</v>
      </c>
      <c r="S214" s="98"/>
      <c r="T214" s="100"/>
      <c r="U214" s="100"/>
      <c r="V214" s="50"/>
      <c r="W214" s="50"/>
      <c r="X214" s="50"/>
      <c r="Y214" s="50"/>
      <c r="Z214" s="50"/>
      <c r="AA214" s="28"/>
      <c r="AB214" s="57" t="s">
        <v>240</v>
      </c>
      <c r="AC214" s="28"/>
      <c r="AD214" s="28"/>
      <c r="AE214" s="28"/>
      <c r="AF214" s="400"/>
      <c r="AG214" s="400"/>
      <c r="AH214" s="400"/>
      <c r="AI214" s="28"/>
      <c r="AJ214" s="28"/>
      <c r="AK214" s="50"/>
      <c r="AL214" s="28"/>
      <c r="AM214" s="28"/>
      <c r="AN214" s="51"/>
    </row>
    <row r="215" spans="1:47" s="190" customFormat="1" x14ac:dyDescent="0.25">
      <c r="A215" s="398"/>
      <c r="B215" s="8"/>
      <c r="C215" s="8"/>
      <c r="D215" s="8"/>
      <c r="E215" s="8"/>
      <c r="F215" s="191"/>
      <c r="G215" s="8"/>
      <c r="H215" s="38"/>
      <c r="I215" s="15"/>
      <c r="J215" s="6"/>
      <c r="K215" s="65"/>
      <c r="L215" s="259">
        <f>K213+L213</f>
        <v>33627229.229999997</v>
      </c>
      <c r="M215" s="259"/>
      <c r="N215" s="8"/>
      <c r="O215" s="8"/>
      <c r="P215" s="6"/>
      <c r="Q215" s="6"/>
      <c r="R215" s="6"/>
      <c r="S215" s="42">
        <f>L215-S213</f>
        <v>15450378.829999998</v>
      </c>
      <c r="T215" s="42"/>
      <c r="U215" s="42"/>
      <c r="V215" s="42"/>
      <c r="W215" s="42"/>
      <c r="X215" s="42"/>
      <c r="Y215" s="42"/>
      <c r="Z215" s="42"/>
      <c r="AA215" s="42"/>
      <c r="AB215" s="42"/>
      <c r="AC215" s="42"/>
      <c r="AD215" s="42"/>
      <c r="AE215" s="42"/>
      <c r="AF215" s="42"/>
      <c r="AG215" s="189"/>
      <c r="AH215" s="189"/>
      <c r="AI215" s="189"/>
      <c r="AJ215" s="189"/>
      <c r="AK215" s="109"/>
      <c r="AL215" s="189"/>
      <c r="AM215" s="189"/>
      <c r="AN215" s="109"/>
    </row>
    <row r="216" spans="1:47" s="170" customFormat="1" ht="105" x14ac:dyDescent="0.25">
      <c r="A216" s="28">
        <v>1</v>
      </c>
      <c r="B216" s="98" t="s">
        <v>636</v>
      </c>
      <c r="C216" s="98" t="s">
        <v>135</v>
      </c>
      <c r="D216" s="418">
        <v>2464039386</v>
      </c>
      <c r="E216" s="98">
        <v>1000028454</v>
      </c>
      <c r="F216" s="108" t="s">
        <v>637</v>
      </c>
      <c r="G216" s="98">
        <v>8000741713</v>
      </c>
      <c r="H216" s="99">
        <v>45812</v>
      </c>
      <c r="I216" s="100" t="s">
        <v>638</v>
      </c>
      <c r="J216" s="100" t="s">
        <v>368</v>
      </c>
      <c r="K216" s="101">
        <v>71559290.540000007</v>
      </c>
      <c r="L216" s="101"/>
      <c r="M216" s="100" t="s">
        <v>11</v>
      </c>
      <c r="N216" s="100" t="s">
        <v>639</v>
      </c>
      <c r="O216" s="100"/>
      <c r="P216" s="98" t="s">
        <v>640</v>
      </c>
      <c r="Q216" s="98" t="s">
        <v>168</v>
      </c>
      <c r="R216" s="98" t="s">
        <v>105</v>
      </c>
      <c r="S216" s="429">
        <v>79822659.040000007</v>
      </c>
      <c r="T216" s="429">
        <v>79822659.040000007</v>
      </c>
      <c r="U216" s="429">
        <v>0</v>
      </c>
      <c r="V216" s="50"/>
      <c r="W216" s="50"/>
      <c r="X216" s="50"/>
      <c r="Y216" s="50"/>
      <c r="Z216" s="50"/>
      <c r="AA216" s="28"/>
      <c r="AB216" s="57" t="s">
        <v>641</v>
      </c>
      <c r="AC216" s="28"/>
      <c r="AD216" s="28"/>
      <c r="AE216" s="28"/>
      <c r="AF216" s="400" t="s">
        <v>1554</v>
      </c>
      <c r="AG216" s="400" t="s">
        <v>1027</v>
      </c>
      <c r="AH216" s="28" t="s">
        <v>1412</v>
      </c>
      <c r="AI216" s="28" t="s">
        <v>1678</v>
      </c>
      <c r="AJ216" s="28" t="s">
        <v>1678</v>
      </c>
      <c r="AK216" s="50" t="s">
        <v>4690</v>
      </c>
      <c r="AL216" s="400" t="s">
        <v>1662</v>
      </c>
      <c r="AM216" s="28" t="s">
        <v>4574</v>
      </c>
      <c r="AN216" s="462" t="s">
        <v>4642</v>
      </c>
      <c r="AP216" s="170">
        <v>1</v>
      </c>
    </row>
    <row r="217" spans="1:47" s="255" customFormat="1" ht="90" x14ac:dyDescent="0.25">
      <c r="A217" s="28"/>
      <c r="B217" s="98" t="s">
        <v>636</v>
      </c>
      <c r="C217" s="98" t="s">
        <v>135</v>
      </c>
      <c r="D217" s="418">
        <v>2464039386</v>
      </c>
      <c r="E217" s="98">
        <v>1000028454</v>
      </c>
      <c r="F217" s="108" t="s">
        <v>1371</v>
      </c>
      <c r="G217" s="98">
        <v>9000573505</v>
      </c>
      <c r="H217" s="99">
        <v>45950</v>
      </c>
      <c r="I217" s="100" t="s">
        <v>81</v>
      </c>
      <c r="J217" s="100" t="s">
        <v>368</v>
      </c>
      <c r="K217" s="434">
        <v>5174376.24</v>
      </c>
      <c r="L217" s="101"/>
      <c r="M217" s="100" t="s">
        <v>11</v>
      </c>
      <c r="N217" s="100" t="s">
        <v>1372</v>
      </c>
      <c r="O217" s="100"/>
      <c r="P217" s="98" t="s">
        <v>1373</v>
      </c>
      <c r="Q217" s="98" t="s">
        <v>168</v>
      </c>
      <c r="R217" s="98" t="s">
        <v>105</v>
      </c>
      <c r="S217" s="98"/>
      <c r="T217" s="100"/>
      <c r="U217" s="100"/>
      <c r="V217" s="50"/>
      <c r="W217" s="50"/>
      <c r="X217" s="50"/>
      <c r="Y217" s="50"/>
      <c r="Z217" s="50"/>
      <c r="AA217" s="28"/>
      <c r="AB217" s="57" t="s">
        <v>1374</v>
      </c>
      <c r="AC217" s="28"/>
      <c r="AD217" s="28"/>
      <c r="AE217" s="28"/>
      <c r="AF217" s="28"/>
      <c r="AG217" s="28"/>
      <c r="AH217" s="28"/>
      <c r="AI217" s="28"/>
      <c r="AJ217" s="28"/>
      <c r="AK217" s="50"/>
      <c r="AL217" s="28"/>
      <c r="AM217" s="28"/>
      <c r="AN217" s="50"/>
    </row>
    <row r="218" spans="1:47" s="255" customFormat="1" ht="76.5" x14ac:dyDescent="0.25">
      <c r="A218" s="28"/>
      <c r="B218" s="445" t="s">
        <v>636</v>
      </c>
      <c r="C218" s="98" t="s">
        <v>135</v>
      </c>
      <c r="D218" s="98">
        <v>2464039386</v>
      </c>
      <c r="E218" s="98">
        <v>1000028454</v>
      </c>
      <c r="F218" s="108" t="s">
        <v>1462</v>
      </c>
      <c r="G218" s="98">
        <v>9000594537</v>
      </c>
      <c r="H218" s="99">
        <v>46006</v>
      </c>
      <c r="I218" s="100" t="s">
        <v>87</v>
      </c>
      <c r="J218" s="100" t="s">
        <v>368</v>
      </c>
      <c r="K218" s="434">
        <v>5137213.5999999996</v>
      </c>
      <c r="L218" s="101"/>
      <c r="M218" s="100" t="s">
        <v>11</v>
      </c>
      <c r="N218" s="100" t="s">
        <v>1463</v>
      </c>
      <c r="O218" s="100"/>
      <c r="P218" s="98" t="s">
        <v>1464</v>
      </c>
      <c r="Q218" s="98" t="s">
        <v>168</v>
      </c>
      <c r="R218" s="98" t="s">
        <v>105</v>
      </c>
      <c r="S218" s="98"/>
      <c r="T218" s="100"/>
      <c r="U218" s="100"/>
      <c r="V218" s="50"/>
      <c r="W218" s="50"/>
      <c r="X218" s="50"/>
      <c r="Y218" s="50"/>
      <c r="Z218" s="50"/>
      <c r="AA218" s="28"/>
      <c r="AB218" s="57" t="s">
        <v>1465</v>
      </c>
      <c r="AC218" s="28"/>
      <c r="AD218" s="28"/>
      <c r="AE218" s="28"/>
      <c r="AF218" s="28"/>
      <c r="AG218" s="28"/>
      <c r="AH218" s="28"/>
      <c r="AI218" s="28"/>
      <c r="AJ218" s="28"/>
      <c r="AK218" s="50"/>
      <c r="AL218" s="28"/>
      <c r="AM218" s="28"/>
      <c r="AN218" s="51"/>
    </row>
    <row r="219" spans="1:47" s="190" customFormat="1" x14ac:dyDescent="0.25">
      <c r="A219" s="398"/>
      <c r="B219" s="8"/>
      <c r="C219" s="8"/>
      <c r="D219" s="8"/>
      <c r="E219" s="8"/>
      <c r="F219" s="191"/>
      <c r="G219" s="8"/>
      <c r="H219" s="38"/>
      <c r="I219" s="15"/>
      <c r="J219" s="6"/>
      <c r="K219" s="65"/>
      <c r="L219" s="259">
        <f>SUM(K216:K218)</f>
        <v>81870880.379999995</v>
      </c>
      <c r="M219" s="259"/>
      <c r="N219" s="8"/>
      <c r="O219" s="8"/>
      <c r="P219" s="6"/>
      <c r="Q219" s="6"/>
      <c r="R219" s="6"/>
      <c r="S219" s="42">
        <f>L219-S216</f>
        <v>2048221.3399999887</v>
      </c>
      <c r="T219" s="42"/>
      <c r="U219" s="42"/>
      <c r="V219" s="42"/>
      <c r="W219" s="42"/>
      <c r="X219" s="42"/>
      <c r="Y219" s="42"/>
      <c r="Z219" s="42"/>
      <c r="AA219" s="42"/>
      <c r="AB219" s="42"/>
      <c r="AC219" s="42"/>
      <c r="AD219" s="42"/>
      <c r="AE219" s="42"/>
      <c r="AF219" s="42"/>
      <c r="AG219" s="189"/>
      <c r="AH219" s="189"/>
      <c r="AI219" s="189"/>
      <c r="AJ219" s="189"/>
      <c r="AK219" s="109"/>
      <c r="AL219" s="189"/>
      <c r="AM219" s="189"/>
      <c r="AN219" s="109"/>
    </row>
    <row r="220" spans="1:47" s="138" customFormat="1" ht="300" x14ac:dyDescent="0.25">
      <c r="A220" s="28">
        <v>1</v>
      </c>
      <c r="B220" s="98" t="s">
        <v>824</v>
      </c>
      <c r="C220" s="98" t="s">
        <v>22</v>
      </c>
      <c r="D220" s="418">
        <v>6670347009</v>
      </c>
      <c r="E220" s="98">
        <v>1000100422</v>
      </c>
      <c r="F220" s="108" t="s">
        <v>825</v>
      </c>
      <c r="G220" s="98">
        <v>8000747720</v>
      </c>
      <c r="H220" s="99">
        <v>45866</v>
      </c>
      <c r="I220" s="100" t="s">
        <v>826</v>
      </c>
      <c r="J220" s="100" t="s">
        <v>653</v>
      </c>
      <c r="K220" s="101">
        <v>152726583.41</v>
      </c>
      <c r="L220" s="101"/>
      <c r="M220" s="100"/>
      <c r="N220" s="100" t="s">
        <v>827</v>
      </c>
      <c r="O220" s="100"/>
      <c r="P220" s="98" t="s">
        <v>828</v>
      </c>
      <c r="Q220" s="98" t="s">
        <v>168</v>
      </c>
      <c r="R220" s="98" t="s">
        <v>959</v>
      </c>
      <c r="S220" s="429">
        <v>13930469.109999999</v>
      </c>
      <c r="T220" s="429">
        <v>13930469.109999999</v>
      </c>
      <c r="U220" s="429">
        <v>0</v>
      </c>
      <c r="V220" s="50"/>
      <c r="W220" s="50"/>
      <c r="X220" s="50"/>
      <c r="Y220" s="50"/>
      <c r="Z220" s="50"/>
      <c r="AA220" s="28"/>
      <c r="AB220" s="57" t="s">
        <v>829</v>
      </c>
      <c r="AC220" s="28"/>
      <c r="AD220" s="28"/>
      <c r="AE220" s="28"/>
      <c r="AF220" s="400" t="s">
        <v>1552</v>
      </c>
      <c r="AG220" s="400" t="s">
        <v>1092</v>
      </c>
      <c r="AH220" s="28" t="s">
        <v>1038</v>
      </c>
      <c r="AI220" s="28" t="s">
        <v>1413</v>
      </c>
      <c r="AJ220" s="28" t="s">
        <v>1677</v>
      </c>
      <c r="AK220" s="28" t="s">
        <v>4561</v>
      </c>
      <c r="AL220" s="400" t="s">
        <v>1553</v>
      </c>
      <c r="AM220" s="28" t="s">
        <v>4561</v>
      </c>
      <c r="AN220" s="463" t="s">
        <v>4589</v>
      </c>
      <c r="AS220" s="138">
        <v>1</v>
      </c>
    </row>
    <row r="221" spans="1:47" s="138" customFormat="1" ht="90" x14ac:dyDescent="0.25">
      <c r="A221" s="28"/>
      <c r="B221" s="98" t="s">
        <v>824</v>
      </c>
      <c r="C221" s="98" t="s">
        <v>22</v>
      </c>
      <c r="D221" s="418">
        <v>6670347009</v>
      </c>
      <c r="E221" s="98">
        <v>1000100422</v>
      </c>
      <c r="F221" s="108" t="s">
        <v>4559</v>
      </c>
      <c r="G221" s="98">
        <v>8000747720</v>
      </c>
      <c r="H221" s="99">
        <v>45866</v>
      </c>
      <c r="I221" s="100" t="s">
        <v>826</v>
      </c>
      <c r="J221" s="100" t="s">
        <v>653</v>
      </c>
      <c r="K221" s="101">
        <v>152726583.41</v>
      </c>
      <c r="L221" s="101"/>
      <c r="M221" s="100"/>
      <c r="N221" s="100" t="s">
        <v>4560</v>
      </c>
      <c r="O221" s="100"/>
      <c r="P221" s="98" t="s">
        <v>828</v>
      </c>
      <c r="Q221" s="98" t="s">
        <v>168</v>
      </c>
      <c r="R221" s="98" t="s">
        <v>959</v>
      </c>
      <c r="S221" s="429"/>
      <c r="T221" s="429"/>
      <c r="U221" s="429"/>
      <c r="V221" s="50"/>
      <c r="W221" s="50"/>
      <c r="X221" s="50"/>
      <c r="Y221" s="50"/>
      <c r="Z221" s="50"/>
      <c r="AA221" s="28"/>
      <c r="AB221" s="57" t="s">
        <v>829</v>
      </c>
      <c r="AC221" s="28"/>
      <c r="AD221" s="28"/>
      <c r="AE221" s="28"/>
      <c r="AF221" s="400" t="s">
        <v>1552</v>
      </c>
      <c r="AG221" s="400" t="s">
        <v>1092</v>
      </c>
      <c r="AH221" s="28" t="s">
        <v>1038</v>
      </c>
      <c r="AI221" s="28" t="s">
        <v>1413</v>
      </c>
      <c r="AJ221" s="28"/>
      <c r="AK221" s="50"/>
      <c r="AL221" s="400"/>
      <c r="AM221" s="28"/>
      <c r="AN221" s="51"/>
    </row>
    <row r="222" spans="1:47" s="190" customFormat="1" x14ac:dyDescent="0.25">
      <c r="A222" s="398"/>
      <c r="B222" s="8"/>
      <c r="C222" s="8"/>
      <c r="D222" s="8"/>
      <c r="E222" s="8"/>
      <c r="F222" s="191"/>
      <c r="G222" s="8"/>
      <c r="H222" s="38"/>
      <c r="I222" s="15"/>
      <c r="J222" s="6"/>
      <c r="K222" s="65"/>
      <c r="L222" s="259">
        <f>SUM(K220)</f>
        <v>152726583.41</v>
      </c>
      <c r="M222" s="259"/>
      <c r="N222" s="8"/>
      <c r="O222" s="8"/>
      <c r="P222" s="6"/>
      <c r="Q222" s="6"/>
      <c r="R222" s="6"/>
      <c r="S222" s="42">
        <f>L222-S220</f>
        <v>138796114.30000001</v>
      </c>
      <c r="T222" s="42"/>
      <c r="U222" s="42"/>
      <c r="V222" s="42"/>
      <c r="W222" s="42"/>
      <c r="X222" s="42"/>
      <c r="Y222" s="42"/>
      <c r="Z222" s="42"/>
      <c r="AA222" s="42"/>
      <c r="AB222" s="42"/>
      <c r="AC222" s="42"/>
      <c r="AD222" s="42"/>
      <c r="AE222" s="42"/>
      <c r="AF222" s="42"/>
      <c r="AG222" s="189"/>
      <c r="AH222" s="189"/>
      <c r="AI222" s="189"/>
      <c r="AJ222" s="189"/>
      <c r="AK222" s="109"/>
      <c r="AL222" s="189"/>
      <c r="AM222" s="189"/>
      <c r="AN222" s="109"/>
    </row>
    <row r="223" spans="1:47" s="138" customFormat="1" ht="105" x14ac:dyDescent="0.25">
      <c r="A223" s="28">
        <v>1</v>
      </c>
      <c r="B223" s="98" t="s">
        <v>133</v>
      </c>
      <c r="C223" s="98" t="s">
        <v>46</v>
      </c>
      <c r="D223" s="418">
        <v>2722052259</v>
      </c>
      <c r="E223" s="98">
        <v>1000105100</v>
      </c>
      <c r="F223" s="108" t="s">
        <v>837</v>
      </c>
      <c r="G223" s="98">
        <v>8000747122</v>
      </c>
      <c r="H223" s="99">
        <v>45867</v>
      </c>
      <c r="I223" s="100" t="s">
        <v>838</v>
      </c>
      <c r="J223" s="100" t="s">
        <v>368</v>
      </c>
      <c r="K223" s="101">
        <v>122877040.14</v>
      </c>
      <c r="L223" s="101"/>
      <c r="M223" s="435" t="s">
        <v>839</v>
      </c>
      <c r="N223" s="100" t="s">
        <v>840</v>
      </c>
      <c r="O223" s="100"/>
      <c r="P223" s="98" t="s">
        <v>841</v>
      </c>
      <c r="Q223" s="98" t="s">
        <v>816</v>
      </c>
      <c r="R223" s="98" t="s">
        <v>823</v>
      </c>
      <c r="S223" s="429">
        <v>99863908.409999996</v>
      </c>
      <c r="T223" s="429">
        <v>99863908.409999996</v>
      </c>
      <c r="U223" s="429">
        <v>17000000</v>
      </c>
      <c r="V223" s="50"/>
      <c r="W223" s="50"/>
      <c r="X223" s="50"/>
      <c r="Y223" s="50"/>
      <c r="Z223" s="50"/>
      <c r="AA223" s="28"/>
      <c r="AB223" s="57" t="s">
        <v>410</v>
      </c>
      <c r="AC223" s="28"/>
      <c r="AD223" s="28"/>
      <c r="AE223" s="28"/>
      <c r="AF223" s="400" t="s">
        <v>917</v>
      </c>
      <c r="AG223" s="400" t="s">
        <v>1094</v>
      </c>
      <c r="AH223" s="400" t="s">
        <v>1375</v>
      </c>
      <c r="AI223" s="28"/>
      <c r="AJ223" s="28" t="s">
        <v>1155</v>
      </c>
      <c r="AK223" s="28" t="s">
        <v>4634</v>
      </c>
      <c r="AL223" s="400" t="s">
        <v>1663</v>
      </c>
      <c r="AM223" s="28" t="s">
        <v>4575</v>
      </c>
      <c r="AN223" s="464" t="s">
        <v>4648</v>
      </c>
      <c r="AR223" s="138">
        <v>1</v>
      </c>
    </row>
    <row r="224" spans="1:47" s="190" customFormat="1" x14ac:dyDescent="0.25">
      <c r="A224" s="398"/>
      <c r="B224" s="8"/>
      <c r="C224" s="8"/>
      <c r="D224" s="8"/>
      <c r="E224" s="8"/>
      <c r="F224" s="191"/>
      <c r="G224" s="8"/>
      <c r="H224" s="38"/>
      <c r="I224" s="15"/>
      <c r="J224" s="6"/>
      <c r="K224" s="65"/>
      <c r="L224" s="259">
        <f>K223+L223</f>
        <v>122877040.14</v>
      </c>
      <c r="M224" s="259"/>
      <c r="N224" s="8"/>
      <c r="O224" s="8"/>
      <c r="P224" s="6"/>
      <c r="Q224" s="6"/>
      <c r="R224" s="6"/>
      <c r="S224" s="42">
        <f>L224-S223</f>
        <v>23013131.730000004</v>
      </c>
      <c r="T224" s="42"/>
      <c r="U224" s="42"/>
      <c r="V224" s="42"/>
      <c r="W224" s="42"/>
      <c r="X224" s="42"/>
      <c r="Y224" s="42"/>
      <c r="Z224" s="42"/>
      <c r="AA224" s="42"/>
      <c r="AB224" s="42"/>
      <c r="AC224" s="42"/>
      <c r="AD224" s="42"/>
      <c r="AE224" s="42"/>
      <c r="AF224" s="42"/>
      <c r="AG224" s="189"/>
      <c r="AH224" s="189"/>
      <c r="AI224" s="189"/>
      <c r="AJ224" s="189"/>
      <c r="AK224" s="109"/>
      <c r="AL224" s="189"/>
      <c r="AM224" s="189"/>
      <c r="AN224" s="109"/>
    </row>
    <row r="225" spans="1:47" s="138" customFormat="1" ht="195" x14ac:dyDescent="0.25">
      <c r="A225" s="28">
        <v>1</v>
      </c>
      <c r="B225" s="98" t="s">
        <v>842</v>
      </c>
      <c r="C225" s="98" t="s">
        <v>843</v>
      </c>
      <c r="D225" s="418">
        <v>6673157856</v>
      </c>
      <c r="E225" s="98">
        <v>1000114393</v>
      </c>
      <c r="F225" s="108" t="s">
        <v>844</v>
      </c>
      <c r="G225" s="98">
        <v>8000749362</v>
      </c>
      <c r="H225" s="99">
        <v>45867</v>
      </c>
      <c r="I225" s="100" t="s">
        <v>845</v>
      </c>
      <c r="J225" s="100" t="s">
        <v>645</v>
      </c>
      <c r="K225" s="101">
        <v>6281380.6399999997</v>
      </c>
      <c r="L225" s="101"/>
      <c r="M225" s="435" t="s">
        <v>11</v>
      </c>
      <c r="N225" s="100" t="s">
        <v>846</v>
      </c>
      <c r="O225" s="100"/>
      <c r="P225" s="98" t="s">
        <v>847</v>
      </c>
      <c r="Q225" s="98" t="s">
        <v>13</v>
      </c>
      <c r="R225" s="98" t="s">
        <v>823</v>
      </c>
      <c r="S225" s="429">
        <v>0</v>
      </c>
      <c r="T225" s="429">
        <v>0</v>
      </c>
      <c r="U225" s="429">
        <v>0</v>
      </c>
      <c r="V225" s="50"/>
      <c r="W225" s="50"/>
      <c r="X225" s="50"/>
      <c r="Y225" s="50"/>
      <c r="Z225" s="50"/>
      <c r="AA225" s="28"/>
      <c r="AB225" s="57" t="s">
        <v>848</v>
      </c>
      <c r="AC225" s="28"/>
      <c r="AD225" s="28"/>
      <c r="AE225" s="28"/>
      <c r="AF225" s="400" t="s">
        <v>918</v>
      </c>
      <c r="AG225" s="400" t="s">
        <v>933</v>
      </c>
      <c r="AH225" s="400" t="s">
        <v>1026</v>
      </c>
      <c r="AI225" s="28" t="s">
        <v>1040</v>
      </c>
      <c r="AJ225" s="28" t="s">
        <v>1161</v>
      </c>
      <c r="AK225" s="50" t="s">
        <v>4635</v>
      </c>
      <c r="AL225" s="400" t="s">
        <v>1026</v>
      </c>
      <c r="AM225" s="28" t="s">
        <v>4576</v>
      </c>
      <c r="AN225" s="464" t="s">
        <v>4649</v>
      </c>
      <c r="AR225" s="138">
        <v>1</v>
      </c>
      <c r="AU225" s="485" t="s">
        <v>4787</v>
      </c>
    </row>
    <row r="226" spans="1:47" s="190" customFormat="1" x14ac:dyDescent="0.25">
      <c r="A226" s="398"/>
      <c r="B226" s="8"/>
      <c r="C226" s="8"/>
      <c r="D226" s="8"/>
      <c r="E226" s="8"/>
      <c r="F226" s="191"/>
      <c r="G226" s="8"/>
      <c r="H226" s="38"/>
      <c r="I226" s="15"/>
      <c r="J226" s="6"/>
      <c r="K226" s="65"/>
      <c r="L226" s="259">
        <v>6281380.6399999997</v>
      </c>
      <c r="M226" s="259"/>
      <c r="N226" s="8"/>
      <c r="O226" s="8"/>
      <c r="P226" s="6"/>
      <c r="Q226" s="6"/>
      <c r="R226" s="6"/>
      <c r="S226" s="42">
        <f>L226-S225</f>
        <v>6281380.6399999997</v>
      </c>
      <c r="T226" s="42"/>
      <c r="U226" s="42"/>
      <c r="V226" s="42"/>
      <c r="W226" s="42"/>
      <c r="X226" s="42"/>
      <c r="Y226" s="42"/>
      <c r="Z226" s="42"/>
      <c r="AA226" s="42"/>
      <c r="AB226" s="42"/>
      <c r="AC226" s="42"/>
      <c r="AD226" s="42"/>
      <c r="AE226" s="42"/>
      <c r="AF226" s="42"/>
      <c r="AG226" s="189"/>
      <c r="AH226" s="189"/>
      <c r="AI226" s="189"/>
      <c r="AJ226" s="189"/>
      <c r="AK226" s="109"/>
      <c r="AL226" s="189"/>
      <c r="AM226" s="189"/>
      <c r="AN226" s="109"/>
    </row>
    <row r="227" spans="1:47" s="138" customFormat="1" ht="135" x14ac:dyDescent="0.25">
      <c r="A227" s="28">
        <v>1</v>
      </c>
      <c r="B227" s="98" t="s">
        <v>849</v>
      </c>
      <c r="C227" s="98" t="s">
        <v>850</v>
      </c>
      <c r="D227" s="418">
        <v>2453012311</v>
      </c>
      <c r="E227" s="98">
        <v>1000094590</v>
      </c>
      <c r="F227" s="108" t="s">
        <v>851</v>
      </c>
      <c r="G227" s="98">
        <v>8000749240</v>
      </c>
      <c r="H227" s="99">
        <v>45869</v>
      </c>
      <c r="I227" s="100" t="s">
        <v>852</v>
      </c>
      <c r="J227" s="100" t="s">
        <v>853</v>
      </c>
      <c r="K227" s="101">
        <v>20153350.559999999</v>
      </c>
      <c r="L227" s="101"/>
      <c r="M227" s="100" t="s">
        <v>854</v>
      </c>
      <c r="N227" s="100" t="s">
        <v>855</v>
      </c>
      <c r="O227" s="100"/>
      <c r="P227" s="98" t="s">
        <v>856</v>
      </c>
      <c r="Q227" s="98" t="s">
        <v>13</v>
      </c>
      <c r="R227" s="98" t="s">
        <v>823</v>
      </c>
      <c r="S227" s="429">
        <v>19091666.530000001</v>
      </c>
      <c r="T227" s="429">
        <v>19091666.530000001</v>
      </c>
      <c r="U227" s="429">
        <v>0</v>
      </c>
      <c r="V227" s="50"/>
      <c r="W227" s="50"/>
      <c r="X227" s="50"/>
      <c r="Y227" s="50"/>
      <c r="Z227" s="50"/>
      <c r="AA227" s="28"/>
      <c r="AB227" s="57" t="s">
        <v>857</v>
      </c>
      <c r="AC227" s="28"/>
      <c r="AD227" s="28"/>
      <c r="AE227" s="28"/>
      <c r="AF227" s="400" t="s">
        <v>919</v>
      </c>
      <c r="AG227" s="400" t="s">
        <v>920</v>
      </c>
      <c r="AH227" s="400" t="s">
        <v>1376</v>
      </c>
      <c r="AI227" s="28" t="s">
        <v>1041</v>
      </c>
      <c r="AJ227" s="28" t="s">
        <v>1415</v>
      </c>
      <c r="AK227" s="50" t="s">
        <v>4691</v>
      </c>
      <c r="AL227" s="400" t="s">
        <v>1551</v>
      </c>
      <c r="AM227" s="28" t="s">
        <v>4577</v>
      </c>
      <c r="AN227" s="462" t="s">
        <v>4642</v>
      </c>
      <c r="AP227" s="138">
        <v>1</v>
      </c>
    </row>
    <row r="228" spans="1:47" s="190" customFormat="1" x14ac:dyDescent="0.25">
      <c r="A228" s="398"/>
      <c r="B228" s="8"/>
      <c r="C228" s="8"/>
      <c r="D228" s="8"/>
      <c r="E228" s="8"/>
      <c r="F228" s="191"/>
      <c r="G228" s="8"/>
      <c r="H228" s="38"/>
      <c r="I228" s="15"/>
      <c r="J228" s="6"/>
      <c r="K228" s="65"/>
      <c r="L228" s="259">
        <v>20153350.559999999</v>
      </c>
      <c r="M228" s="259"/>
      <c r="N228" s="8"/>
      <c r="O228" s="8"/>
      <c r="P228" s="6"/>
      <c r="Q228" s="6"/>
      <c r="R228" s="6"/>
      <c r="S228" s="42">
        <f>K227-S227</f>
        <v>1061684.0299999975</v>
      </c>
      <c r="T228" s="42"/>
      <c r="U228" s="42"/>
      <c r="V228" s="42"/>
      <c r="W228" s="42"/>
      <c r="X228" s="42"/>
      <c r="Y228" s="42"/>
      <c r="Z228" s="42"/>
      <c r="AA228" s="42"/>
      <c r="AB228" s="42"/>
      <c r="AC228" s="42"/>
      <c r="AD228" s="42"/>
      <c r="AE228" s="42"/>
      <c r="AF228" s="42"/>
      <c r="AG228" s="189"/>
      <c r="AH228" s="189"/>
      <c r="AI228" s="189"/>
      <c r="AJ228" s="189"/>
      <c r="AK228" s="109"/>
      <c r="AL228" s="189"/>
      <c r="AM228" s="189"/>
      <c r="AN228" s="109"/>
    </row>
    <row r="229" spans="1:47" s="138" customFormat="1" ht="165" x14ac:dyDescent="0.25">
      <c r="A229" s="28">
        <v>1</v>
      </c>
      <c r="B229" s="98" t="s">
        <v>196</v>
      </c>
      <c r="C229" s="98" t="s">
        <v>296</v>
      </c>
      <c r="D229" s="418">
        <v>7726685798</v>
      </c>
      <c r="E229" s="98">
        <v>1000100506</v>
      </c>
      <c r="F229" s="108" t="s">
        <v>892</v>
      </c>
      <c r="G229" s="98">
        <v>8000757070</v>
      </c>
      <c r="H229" s="99">
        <v>45875</v>
      </c>
      <c r="I229" s="100" t="s">
        <v>886</v>
      </c>
      <c r="J229" s="100" t="s">
        <v>887</v>
      </c>
      <c r="K229" s="101">
        <v>141893441.68000001</v>
      </c>
      <c r="L229" s="101"/>
      <c r="M229" s="100" t="s">
        <v>11</v>
      </c>
      <c r="N229" s="100" t="s">
        <v>893</v>
      </c>
      <c r="O229" s="100"/>
      <c r="P229" s="98" t="s">
        <v>890</v>
      </c>
      <c r="Q229" s="98" t="s">
        <v>881</v>
      </c>
      <c r="R229" s="98" t="s">
        <v>894</v>
      </c>
      <c r="S229" s="429">
        <v>26279550.539999999</v>
      </c>
      <c r="T229" s="429">
        <v>26279550.539999999</v>
      </c>
      <c r="U229" s="429">
        <v>0</v>
      </c>
      <c r="V229" s="50"/>
      <c r="W229" s="50"/>
      <c r="X229" s="50"/>
      <c r="Y229" s="50"/>
      <c r="Z229" s="50"/>
      <c r="AA229" s="28"/>
      <c r="AB229" s="28" t="s">
        <v>262</v>
      </c>
      <c r="AC229" s="28"/>
      <c r="AD229" s="28"/>
      <c r="AE229" s="28"/>
      <c r="AF229" s="400" t="s">
        <v>1377</v>
      </c>
      <c r="AG229" s="400" t="s">
        <v>1029</v>
      </c>
      <c r="AH229" s="400" t="s">
        <v>1378</v>
      </c>
      <c r="AI229" s="28" t="s">
        <v>1044</v>
      </c>
      <c r="AJ229" s="28" t="s">
        <v>1416</v>
      </c>
      <c r="AK229" s="50" t="s">
        <v>4636</v>
      </c>
      <c r="AL229" s="400" t="s">
        <v>1550</v>
      </c>
      <c r="AM229" s="28" t="s">
        <v>4578</v>
      </c>
      <c r="AN229" s="401" t="s">
        <v>4692</v>
      </c>
      <c r="AQ229" s="138">
        <v>1</v>
      </c>
    </row>
    <row r="230" spans="1:47" s="190" customFormat="1" x14ac:dyDescent="0.25">
      <c r="A230" s="398"/>
      <c r="B230" s="8"/>
      <c r="C230" s="8"/>
      <c r="D230" s="8"/>
      <c r="E230" s="8"/>
      <c r="F230" s="191"/>
      <c r="G230" s="8"/>
      <c r="H230" s="38"/>
      <c r="I230" s="15"/>
      <c r="J230" s="6"/>
      <c r="K230" s="65"/>
      <c r="L230" s="259">
        <f>K229+L229</f>
        <v>141893441.68000001</v>
      </c>
      <c r="M230" s="259"/>
      <c r="N230" s="8"/>
      <c r="O230" s="8"/>
      <c r="P230" s="6"/>
      <c r="Q230" s="6"/>
      <c r="R230" s="6"/>
      <c r="S230" s="42">
        <f>L230-S229</f>
        <v>115613891.14000002</v>
      </c>
      <c r="T230" s="42"/>
      <c r="U230" s="42"/>
      <c r="V230" s="42"/>
      <c r="W230" s="42"/>
      <c r="X230" s="42"/>
      <c r="Y230" s="42"/>
      <c r="Z230" s="42"/>
      <c r="AA230" s="42"/>
      <c r="AB230" s="42"/>
      <c r="AC230" s="42"/>
      <c r="AD230" s="42"/>
      <c r="AE230" s="42"/>
      <c r="AF230" s="42"/>
      <c r="AG230" s="189"/>
      <c r="AH230" s="189"/>
      <c r="AI230" s="189"/>
      <c r="AJ230" s="189"/>
      <c r="AK230" s="109"/>
      <c r="AL230" s="189"/>
      <c r="AM230" s="189"/>
      <c r="AN230" s="109"/>
    </row>
    <row r="231" spans="1:47" s="138" customFormat="1" ht="150" x14ac:dyDescent="0.25">
      <c r="A231" s="28">
        <v>1</v>
      </c>
      <c r="B231" s="98" t="s">
        <v>344</v>
      </c>
      <c r="C231" s="98" t="s">
        <v>343</v>
      </c>
      <c r="D231" s="418">
        <v>5505062400</v>
      </c>
      <c r="E231" s="98">
        <v>1000167975</v>
      </c>
      <c r="F231" s="108" t="s">
        <v>899</v>
      </c>
      <c r="G231" s="98">
        <v>8000758074</v>
      </c>
      <c r="H231" s="99">
        <v>45883</v>
      </c>
      <c r="I231" s="100" t="s">
        <v>900</v>
      </c>
      <c r="J231" s="100" t="s">
        <v>338</v>
      </c>
      <c r="K231" s="101">
        <v>4301515.92</v>
      </c>
      <c r="L231" s="101"/>
      <c r="M231" s="100" t="s">
        <v>11</v>
      </c>
      <c r="N231" s="100" t="s">
        <v>901</v>
      </c>
      <c r="O231" s="100"/>
      <c r="P231" s="98" t="s">
        <v>902</v>
      </c>
      <c r="Q231" s="98" t="s">
        <v>13</v>
      </c>
      <c r="R231" s="98" t="s">
        <v>54</v>
      </c>
      <c r="S231" s="429">
        <v>0</v>
      </c>
      <c r="T231" s="429">
        <v>0</v>
      </c>
      <c r="U231" s="429">
        <v>0</v>
      </c>
      <c r="V231" s="50"/>
      <c r="W231" s="50"/>
      <c r="X231" s="50"/>
      <c r="Y231" s="50"/>
      <c r="Z231" s="50"/>
      <c r="AA231" s="28"/>
      <c r="AB231" s="57" t="s">
        <v>289</v>
      </c>
      <c r="AC231" s="28"/>
      <c r="AD231" s="28"/>
      <c r="AE231" s="28"/>
      <c r="AF231" s="400" t="s">
        <v>925</v>
      </c>
      <c r="AG231" s="400" t="s">
        <v>901</v>
      </c>
      <c r="AH231" s="400" t="s">
        <v>1102</v>
      </c>
      <c r="AI231" s="28" t="s">
        <v>1046</v>
      </c>
      <c r="AJ231" s="28" t="s">
        <v>1133</v>
      </c>
      <c r="AK231" s="50" t="s">
        <v>4637</v>
      </c>
      <c r="AL231" s="400" t="s">
        <v>1102</v>
      </c>
      <c r="AM231" s="28" t="s">
        <v>4579</v>
      </c>
      <c r="AN231" s="464" t="s">
        <v>4650</v>
      </c>
      <c r="AR231" s="138">
        <v>1</v>
      </c>
    </row>
    <row r="232" spans="1:47" s="190" customFormat="1" x14ac:dyDescent="0.25">
      <c r="A232" s="398"/>
      <c r="B232" s="8"/>
      <c r="C232" s="8"/>
      <c r="D232" s="8"/>
      <c r="E232" s="8"/>
      <c r="F232" s="191"/>
      <c r="G232" s="8"/>
      <c r="H232" s="38"/>
      <c r="I232" s="15"/>
      <c r="J232" s="6"/>
      <c r="K232" s="65"/>
      <c r="L232" s="259">
        <f>K231+L231</f>
        <v>4301515.92</v>
      </c>
      <c r="M232" s="259"/>
      <c r="N232" s="8"/>
      <c r="O232" s="8"/>
      <c r="P232" s="6"/>
      <c r="Q232" s="6"/>
      <c r="R232" s="6"/>
      <c r="S232" s="42">
        <f>L232-S231</f>
        <v>4301515.92</v>
      </c>
      <c r="T232" s="42"/>
      <c r="U232" s="42"/>
      <c r="V232" s="42"/>
      <c r="W232" s="42"/>
      <c r="X232" s="42"/>
      <c r="Y232" s="42"/>
      <c r="Z232" s="42"/>
      <c r="AA232" s="42"/>
      <c r="AB232" s="42"/>
      <c r="AC232" s="42"/>
      <c r="AD232" s="42"/>
      <c r="AE232" s="42"/>
      <c r="AF232" s="42"/>
      <c r="AG232" s="189"/>
      <c r="AH232" s="189"/>
      <c r="AI232" s="189"/>
      <c r="AJ232" s="189"/>
      <c r="AK232" s="109"/>
      <c r="AL232" s="189"/>
      <c r="AM232" s="189"/>
      <c r="AN232" s="109"/>
    </row>
    <row r="233" spans="1:47" s="138" customFormat="1" ht="165" x14ac:dyDescent="0.25">
      <c r="A233" s="28">
        <v>1</v>
      </c>
      <c r="B233" s="98" t="s">
        <v>344</v>
      </c>
      <c r="C233" s="98" t="s">
        <v>343</v>
      </c>
      <c r="D233" s="98">
        <v>5505062400</v>
      </c>
      <c r="E233" s="98">
        <v>1000167975</v>
      </c>
      <c r="F233" s="420" t="s">
        <v>345</v>
      </c>
      <c r="G233" s="98">
        <v>8000679271</v>
      </c>
      <c r="H233" s="99">
        <v>45601</v>
      </c>
      <c r="I233" s="100" t="s">
        <v>346</v>
      </c>
      <c r="J233" s="100" t="s">
        <v>338</v>
      </c>
      <c r="K233" s="101">
        <v>27683661.359999999</v>
      </c>
      <c r="L233" s="101"/>
      <c r="M233" s="100" t="s">
        <v>11</v>
      </c>
      <c r="N233" s="100" t="s">
        <v>347</v>
      </c>
      <c r="O233" s="100"/>
      <c r="P233" s="98" t="s">
        <v>348</v>
      </c>
      <c r="Q233" s="98" t="s">
        <v>13</v>
      </c>
      <c r="R233" s="98" t="s">
        <v>54</v>
      </c>
      <c r="S233" s="429">
        <v>16165828.189999999</v>
      </c>
      <c r="T233" s="429">
        <v>16165828.189999999</v>
      </c>
      <c r="U233" s="429">
        <v>3000000</v>
      </c>
      <c r="V233" s="50"/>
      <c r="W233" s="50"/>
      <c r="X233" s="50"/>
      <c r="Y233" s="50"/>
      <c r="Z233" s="50"/>
      <c r="AA233" s="28"/>
      <c r="AB233" s="28" t="s">
        <v>289</v>
      </c>
      <c r="AC233" s="28"/>
      <c r="AD233" s="28"/>
      <c r="AE233" s="28"/>
      <c r="AF233" s="400" t="s">
        <v>734</v>
      </c>
      <c r="AG233" s="400" t="s">
        <v>933</v>
      </c>
      <c r="AH233" s="28" t="s">
        <v>1047</v>
      </c>
      <c r="AI233" s="28" t="s">
        <v>1140</v>
      </c>
      <c r="AJ233" s="28" t="s">
        <v>1676</v>
      </c>
      <c r="AK233" s="50" t="s">
        <v>4638</v>
      </c>
      <c r="AL233" s="400" t="s">
        <v>1098</v>
      </c>
      <c r="AM233" s="28" t="s">
        <v>4580</v>
      </c>
      <c r="AN233" s="401" t="s">
        <v>4692</v>
      </c>
      <c r="AQ233" s="138">
        <v>1</v>
      </c>
    </row>
    <row r="234" spans="1:47" s="138" customFormat="1" ht="90" x14ac:dyDescent="0.25">
      <c r="A234" s="28"/>
      <c r="B234" s="98" t="s">
        <v>344</v>
      </c>
      <c r="C234" s="98" t="s">
        <v>343</v>
      </c>
      <c r="D234" s="98">
        <v>5505062400</v>
      </c>
      <c r="E234" s="98">
        <v>1000167975</v>
      </c>
      <c r="F234" s="420" t="s">
        <v>449</v>
      </c>
      <c r="G234" s="98">
        <v>9000530075</v>
      </c>
      <c r="H234" s="99">
        <v>45730</v>
      </c>
      <c r="I234" s="100" t="s">
        <v>450</v>
      </c>
      <c r="J234" s="100" t="s">
        <v>338</v>
      </c>
      <c r="K234" s="101"/>
      <c r="L234" s="101"/>
      <c r="M234" s="100" t="s">
        <v>11</v>
      </c>
      <c r="N234" s="100" t="s">
        <v>451</v>
      </c>
      <c r="O234" s="100"/>
      <c r="P234" s="98" t="s">
        <v>452</v>
      </c>
      <c r="Q234" s="98" t="s">
        <v>168</v>
      </c>
      <c r="R234" s="98" t="s">
        <v>54</v>
      </c>
      <c r="S234" s="50"/>
      <c r="T234" s="50"/>
      <c r="U234" s="50"/>
      <c r="V234" s="50"/>
      <c r="W234" s="50"/>
      <c r="X234" s="50"/>
      <c r="Y234" s="50"/>
      <c r="Z234" s="50"/>
      <c r="AA234" s="28"/>
      <c r="AB234" s="28" t="s">
        <v>289</v>
      </c>
      <c r="AC234" s="28"/>
      <c r="AD234" s="28"/>
      <c r="AE234" s="28"/>
      <c r="AF234" s="400"/>
      <c r="AG234" s="400"/>
      <c r="AH234" s="408"/>
      <c r="AI234" s="28"/>
      <c r="AJ234" s="28"/>
      <c r="AK234" s="50"/>
      <c r="AL234" s="28"/>
      <c r="AM234" s="28"/>
      <c r="AN234" s="51"/>
    </row>
    <row r="235" spans="1:47" s="138" customFormat="1" ht="90" x14ac:dyDescent="0.25">
      <c r="A235" s="28"/>
      <c r="B235" s="98" t="s">
        <v>344</v>
      </c>
      <c r="C235" s="98" t="s">
        <v>343</v>
      </c>
      <c r="D235" s="98">
        <v>5505062400</v>
      </c>
      <c r="E235" s="98">
        <v>1000167975</v>
      </c>
      <c r="F235" s="420" t="s">
        <v>533</v>
      </c>
      <c r="G235" s="98">
        <v>9000545080</v>
      </c>
      <c r="H235" s="99">
        <v>45803</v>
      </c>
      <c r="I235" s="100" t="s">
        <v>534</v>
      </c>
      <c r="J235" s="100" t="s">
        <v>338</v>
      </c>
      <c r="K235" s="101"/>
      <c r="L235" s="101"/>
      <c r="M235" s="100" t="s">
        <v>11</v>
      </c>
      <c r="N235" s="100" t="s">
        <v>535</v>
      </c>
      <c r="O235" s="100"/>
      <c r="P235" s="98" t="s">
        <v>536</v>
      </c>
      <c r="Q235" s="98" t="s">
        <v>168</v>
      </c>
      <c r="R235" s="98" t="s">
        <v>54</v>
      </c>
      <c r="S235" s="50"/>
      <c r="T235" s="50"/>
      <c r="U235" s="50"/>
      <c r="V235" s="50"/>
      <c r="W235" s="50"/>
      <c r="X235" s="50"/>
      <c r="Y235" s="50"/>
      <c r="Z235" s="50"/>
      <c r="AA235" s="28"/>
      <c r="AB235" s="28" t="s">
        <v>289</v>
      </c>
      <c r="AC235" s="28"/>
      <c r="AD235" s="28"/>
      <c r="AE235" s="28"/>
      <c r="AF235" s="400"/>
      <c r="AG235" s="400"/>
      <c r="AH235" s="408"/>
      <c r="AI235" s="28"/>
      <c r="AJ235" s="28"/>
      <c r="AK235" s="50"/>
      <c r="AL235" s="28"/>
      <c r="AM235" s="28"/>
      <c r="AN235" s="51"/>
    </row>
    <row r="236" spans="1:47" s="138" customFormat="1" ht="90" x14ac:dyDescent="0.25">
      <c r="A236" s="28"/>
      <c r="B236" s="98" t="s">
        <v>344</v>
      </c>
      <c r="C236" s="98" t="s">
        <v>343</v>
      </c>
      <c r="D236" s="98">
        <v>5505062400</v>
      </c>
      <c r="E236" s="98">
        <v>1000167975</v>
      </c>
      <c r="F236" s="420" t="s">
        <v>810</v>
      </c>
      <c r="G236" s="98">
        <v>9000556400</v>
      </c>
      <c r="H236" s="99">
        <v>45860</v>
      </c>
      <c r="I236" s="100" t="s">
        <v>811</v>
      </c>
      <c r="J236" s="100" t="s">
        <v>338</v>
      </c>
      <c r="K236" s="101"/>
      <c r="L236" s="101"/>
      <c r="M236" s="100" t="s">
        <v>11</v>
      </c>
      <c r="N236" s="100" t="s">
        <v>812</v>
      </c>
      <c r="O236" s="100"/>
      <c r="P236" s="98" t="s">
        <v>813</v>
      </c>
      <c r="Q236" s="98" t="s">
        <v>13</v>
      </c>
      <c r="R236" s="98" t="s">
        <v>54</v>
      </c>
      <c r="S236" s="50"/>
      <c r="T236" s="50"/>
      <c r="U236" s="50"/>
      <c r="V236" s="50"/>
      <c r="W236" s="50"/>
      <c r="X236" s="50"/>
      <c r="Y236" s="50"/>
      <c r="Z236" s="50"/>
      <c r="AA236" s="28"/>
      <c r="AB236" s="28"/>
      <c r="AC236" s="28"/>
      <c r="AD236" s="28"/>
      <c r="AE236" s="28"/>
      <c r="AF236" s="400"/>
      <c r="AG236" s="400"/>
      <c r="AH236" s="408"/>
      <c r="AI236" s="28"/>
      <c r="AJ236" s="28"/>
      <c r="AK236" s="50"/>
      <c r="AL236" s="28"/>
      <c r="AM236" s="28"/>
      <c r="AN236" s="51"/>
    </row>
    <row r="237" spans="1:47" s="190" customFormat="1" x14ac:dyDescent="0.25">
      <c r="A237" s="398"/>
      <c r="B237" s="8"/>
      <c r="C237" s="8"/>
      <c r="D237" s="8"/>
      <c r="E237" s="8"/>
      <c r="F237" s="191"/>
      <c r="G237" s="8"/>
      <c r="H237" s="38"/>
      <c r="I237" s="15"/>
      <c r="J237" s="6"/>
      <c r="K237" s="65"/>
      <c r="L237" s="259">
        <f>SUM(K233:K237)</f>
        <v>27683661.359999999</v>
      </c>
      <c r="M237" s="259"/>
      <c r="N237" s="8"/>
      <c r="O237" s="8"/>
      <c r="P237" s="6"/>
      <c r="Q237" s="6"/>
      <c r="R237" s="6"/>
      <c r="S237" s="42">
        <f>L237-S233</f>
        <v>11517833.17</v>
      </c>
      <c r="T237" s="42"/>
      <c r="U237" s="42"/>
      <c r="V237" s="42"/>
      <c r="W237" s="42"/>
      <c r="X237" s="42"/>
      <c r="Y237" s="42"/>
      <c r="Z237" s="42"/>
      <c r="AA237" s="42"/>
      <c r="AB237" s="42"/>
      <c r="AC237" s="42"/>
      <c r="AD237" s="42"/>
      <c r="AE237" s="42"/>
      <c r="AF237" s="42"/>
      <c r="AG237" s="189"/>
      <c r="AH237" s="189"/>
      <c r="AI237" s="189"/>
      <c r="AJ237" s="189"/>
      <c r="AK237" s="109"/>
      <c r="AL237" s="189"/>
      <c r="AM237" s="189"/>
      <c r="AN237" s="109"/>
    </row>
    <row r="238" spans="1:47" s="2" customFormat="1" ht="135" x14ac:dyDescent="0.25">
      <c r="A238" s="28">
        <v>1</v>
      </c>
      <c r="B238" s="98" t="s">
        <v>874</v>
      </c>
      <c r="C238" s="98" t="s">
        <v>875</v>
      </c>
      <c r="D238" s="98">
        <v>5405048560</v>
      </c>
      <c r="E238" s="98">
        <v>1000148852</v>
      </c>
      <c r="F238" s="451" t="s">
        <v>999</v>
      </c>
      <c r="G238" s="98">
        <v>8000766117</v>
      </c>
      <c r="H238" s="99">
        <v>45908</v>
      </c>
      <c r="I238" s="100" t="s">
        <v>1000</v>
      </c>
      <c r="J238" s="100" t="s">
        <v>748</v>
      </c>
      <c r="K238" s="101">
        <v>6079727.5199999996</v>
      </c>
      <c r="L238" s="101"/>
      <c r="M238" s="100" t="s">
        <v>11</v>
      </c>
      <c r="N238" s="100" t="s">
        <v>1001</v>
      </c>
      <c r="O238" s="100"/>
      <c r="P238" s="98" t="s">
        <v>1002</v>
      </c>
      <c r="Q238" s="98" t="s">
        <v>13</v>
      </c>
      <c r="R238" s="98" t="s">
        <v>959</v>
      </c>
      <c r="S238" s="429">
        <v>0</v>
      </c>
      <c r="T238" s="429">
        <v>0</v>
      </c>
      <c r="U238" s="429">
        <v>0</v>
      </c>
      <c r="V238" s="50"/>
      <c r="W238" s="50"/>
      <c r="X238" s="50"/>
      <c r="Y238" s="50"/>
      <c r="Z238" s="50"/>
      <c r="AA238" s="28"/>
      <c r="AB238" s="57" t="s">
        <v>882</v>
      </c>
      <c r="AC238" s="28"/>
      <c r="AD238" s="28"/>
      <c r="AE238" s="28"/>
      <c r="AF238" s="400" t="s">
        <v>1019</v>
      </c>
      <c r="AG238" s="400" t="s">
        <v>1018</v>
      </c>
      <c r="AH238" s="400" t="s">
        <v>1020</v>
      </c>
      <c r="AI238" s="28"/>
      <c r="AJ238" s="28" t="s">
        <v>1704</v>
      </c>
      <c r="AK238" s="50" t="s">
        <v>4592</v>
      </c>
      <c r="AL238" s="400" t="s">
        <v>1020</v>
      </c>
      <c r="AM238" s="28" t="s">
        <v>4591</v>
      </c>
      <c r="AN238" s="401" t="s">
        <v>4692</v>
      </c>
      <c r="AQ238" s="2">
        <v>1</v>
      </c>
    </row>
    <row r="239" spans="1:47" s="190" customFormat="1" x14ac:dyDescent="0.25">
      <c r="A239" s="398"/>
      <c r="B239" s="8"/>
      <c r="C239" s="8"/>
      <c r="D239" s="8"/>
      <c r="E239" s="8"/>
      <c r="F239" s="191"/>
      <c r="G239" s="8"/>
      <c r="H239" s="38"/>
      <c r="I239" s="15"/>
      <c r="J239" s="6"/>
      <c r="K239" s="65"/>
      <c r="L239" s="259">
        <f>K238+L238</f>
        <v>6079727.5199999996</v>
      </c>
      <c r="M239" s="259"/>
      <c r="N239" s="8"/>
      <c r="O239" s="8"/>
      <c r="P239" s="6"/>
      <c r="Q239" s="6"/>
      <c r="R239" s="6"/>
      <c r="S239" s="42">
        <f>L239-S238</f>
        <v>6079727.5199999996</v>
      </c>
      <c r="T239" s="42"/>
      <c r="U239" s="42"/>
      <c r="V239" s="42"/>
      <c r="W239" s="42"/>
      <c r="X239" s="42"/>
      <c r="Y239" s="42"/>
      <c r="Z239" s="42"/>
      <c r="AA239" s="42"/>
      <c r="AB239" s="42"/>
      <c r="AC239" s="42"/>
      <c r="AD239" s="42"/>
      <c r="AE239" s="42"/>
      <c r="AF239" s="42"/>
      <c r="AG239" s="189"/>
      <c r="AH239" s="189"/>
      <c r="AI239" s="189"/>
      <c r="AJ239" s="189"/>
      <c r="AK239" s="109"/>
      <c r="AL239" s="189"/>
      <c r="AM239" s="189"/>
      <c r="AN239" s="109"/>
    </row>
    <row r="240" spans="1:47" s="159" customFormat="1" ht="165" x14ac:dyDescent="0.25">
      <c r="A240" s="159">
        <v>1</v>
      </c>
      <c r="B240" s="10" t="s">
        <v>271</v>
      </c>
      <c r="C240" s="46" t="s">
        <v>270</v>
      </c>
      <c r="D240" s="73">
        <v>5244025873</v>
      </c>
      <c r="E240" s="72">
        <v>1000099589</v>
      </c>
      <c r="F240" s="141" t="s">
        <v>726</v>
      </c>
      <c r="G240" s="78">
        <v>8000671545</v>
      </c>
      <c r="H240" s="75">
        <v>45560</v>
      </c>
      <c r="I240" s="45" t="s">
        <v>272</v>
      </c>
      <c r="J240" s="79" t="s">
        <v>162</v>
      </c>
      <c r="K240" s="79">
        <v>67986000</v>
      </c>
      <c r="L240" s="14"/>
      <c r="M240" s="45" t="s">
        <v>275</v>
      </c>
      <c r="N240" s="14" t="s">
        <v>274</v>
      </c>
      <c r="O240" s="14"/>
      <c r="P240" s="80" t="s">
        <v>273</v>
      </c>
      <c r="Q240" s="80" t="s">
        <v>168</v>
      </c>
      <c r="R240" s="471" t="s">
        <v>959</v>
      </c>
      <c r="S240" s="429">
        <v>2028000</v>
      </c>
      <c r="T240" s="429">
        <v>13597200</v>
      </c>
      <c r="U240" s="429">
        <v>13597200</v>
      </c>
      <c r="V240" s="14" t="s">
        <v>727</v>
      </c>
      <c r="W240" s="188">
        <v>13597200</v>
      </c>
      <c r="X240" s="103" t="s">
        <v>728</v>
      </c>
      <c r="Y240" s="63"/>
      <c r="Z240" s="63"/>
      <c r="AA240" s="63"/>
      <c r="AB240" s="63"/>
      <c r="AC240" s="63"/>
      <c r="AD240" s="63"/>
      <c r="AE240" s="63"/>
      <c r="AF240" s="140"/>
      <c r="AG240" s="140"/>
      <c r="AH240" s="140" t="s">
        <v>1030</v>
      </c>
      <c r="AI240" s="63" t="s">
        <v>912</v>
      </c>
      <c r="AJ240" s="205" t="s">
        <v>1075</v>
      </c>
      <c r="AK240" s="50" t="s">
        <v>4757</v>
      </c>
      <c r="AL240" s="140" t="s">
        <v>1075</v>
      </c>
      <c r="AM240" s="63" t="s">
        <v>1159</v>
      </c>
      <c r="AN240" s="401" t="s">
        <v>4692</v>
      </c>
      <c r="AQ240" s="159">
        <v>1</v>
      </c>
      <c r="AU240" s="138"/>
    </row>
    <row r="241" spans="1:47" s="159" customFormat="1" ht="165" x14ac:dyDescent="0.25">
      <c r="B241" s="10" t="s">
        <v>271</v>
      </c>
      <c r="C241" s="46" t="s">
        <v>270</v>
      </c>
      <c r="D241" s="73">
        <v>5244025873</v>
      </c>
      <c r="E241" s="72">
        <v>1000099589</v>
      </c>
      <c r="F241" s="141" t="s">
        <v>558</v>
      </c>
      <c r="G241" s="78">
        <v>9000547405</v>
      </c>
      <c r="H241" s="75">
        <v>45807</v>
      </c>
      <c r="I241" s="45" t="s">
        <v>559</v>
      </c>
      <c r="J241" s="79" t="s">
        <v>162</v>
      </c>
      <c r="K241" s="79">
        <v>0</v>
      </c>
      <c r="L241" s="14"/>
      <c r="M241" s="45" t="s">
        <v>275</v>
      </c>
      <c r="N241" s="14" t="s">
        <v>560</v>
      </c>
      <c r="O241" s="14"/>
      <c r="P241" s="80" t="s">
        <v>561</v>
      </c>
      <c r="Q241" s="80" t="s">
        <v>168</v>
      </c>
      <c r="R241" s="14"/>
      <c r="S241" s="185"/>
      <c r="T241" s="185"/>
      <c r="U241" s="185"/>
      <c r="V241" s="47"/>
      <c r="W241" s="47"/>
      <c r="X241" s="103"/>
      <c r="Y241" s="63"/>
      <c r="Z241" s="63"/>
      <c r="AA241" s="63"/>
      <c r="AB241" s="63"/>
      <c r="AC241" s="63"/>
      <c r="AD241" s="63"/>
      <c r="AE241" s="63"/>
      <c r="AF241" s="140"/>
      <c r="AG241" s="140"/>
      <c r="AH241" s="63"/>
      <c r="AI241" s="63"/>
      <c r="AJ241" s="205"/>
      <c r="AK241" s="63"/>
      <c r="AL241" s="63"/>
      <c r="AM241" s="63"/>
      <c r="AN241" s="63"/>
      <c r="AU241" s="138"/>
    </row>
    <row r="242" spans="1:47" s="159" customFormat="1" ht="24" customHeight="1" x14ac:dyDescent="0.25">
      <c r="B242" s="8"/>
      <c r="C242" s="9"/>
      <c r="D242" s="9"/>
      <c r="E242" s="8"/>
      <c r="F242" s="36"/>
      <c r="G242" s="22"/>
      <c r="H242" s="180"/>
      <c r="I242" s="13"/>
      <c r="J242" s="13"/>
      <c r="K242" s="41"/>
      <c r="L242" s="41">
        <f>K240+K241</f>
        <v>67986000</v>
      </c>
      <c r="M242" s="15"/>
      <c r="N242" s="13"/>
      <c r="O242" s="15"/>
      <c r="P242" s="9"/>
      <c r="Q242" s="9"/>
      <c r="R242" s="9"/>
      <c r="S242" s="189">
        <f>L242-S240</f>
        <v>65958000</v>
      </c>
      <c r="T242" s="187"/>
      <c r="U242" s="187"/>
      <c r="V242" s="33"/>
      <c r="W242" s="33"/>
      <c r="X242" s="33"/>
      <c r="Y242" s="33"/>
      <c r="Z242" s="33"/>
      <c r="AA242" s="52"/>
      <c r="AB242" s="33"/>
      <c r="AC242" s="33"/>
      <c r="AD242" s="52"/>
      <c r="AE242" s="33"/>
      <c r="AF242" s="33"/>
      <c r="AG242" s="33"/>
      <c r="AH242" s="33"/>
      <c r="AI242" s="33"/>
      <c r="AJ242" s="208"/>
      <c r="AK242" s="6"/>
      <c r="AL242" s="6"/>
      <c r="AM242" s="6"/>
      <c r="AN242" s="6"/>
      <c r="AU242" s="138"/>
    </row>
    <row r="243" spans="1:47" x14ac:dyDescent="0.25">
      <c r="A243" s="399">
        <v>83</v>
      </c>
      <c r="AN243" s="470"/>
    </row>
    <row r="244" spans="1:47" ht="45" x14ac:dyDescent="0.25">
      <c r="AN244" s="480" t="s">
        <v>4692</v>
      </c>
      <c r="AP244" s="227">
        <f>SUBTOTAL(9,AQ26:AQ240)</f>
        <v>14</v>
      </c>
      <c r="AU244" s="227">
        <v>3</v>
      </c>
    </row>
    <row r="245" spans="1:47" ht="45" x14ac:dyDescent="0.25">
      <c r="AN245" s="481" t="s">
        <v>4784</v>
      </c>
      <c r="AP245" s="227">
        <v>35</v>
      </c>
      <c r="AU245" s="227">
        <v>5</v>
      </c>
    </row>
    <row r="246" spans="1:47" x14ac:dyDescent="0.25">
      <c r="AN246" s="482" t="s">
        <v>4785</v>
      </c>
      <c r="AP246" s="227">
        <f>SUM(AT1:AT247)</f>
        <v>10</v>
      </c>
    </row>
    <row r="247" spans="1:47" ht="75" x14ac:dyDescent="0.25">
      <c r="AN247" s="483" t="s">
        <v>4600</v>
      </c>
      <c r="AP247" s="227">
        <f>SUBTOTAL(9,AR30:AR247)</f>
        <v>17</v>
      </c>
      <c r="AU247" s="227">
        <v>4</v>
      </c>
    </row>
    <row r="248" spans="1:47" x14ac:dyDescent="0.25">
      <c r="AN248" s="469" t="s">
        <v>4589</v>
      </c>
      <c r="AP248" s="227">
        <f>SUBTOTAL(9,AS40:AS269)</f>
        <v>6</v>
      </c>
      <c r="AU248" s="227">
        <v>1</v>
      </c>
    </row>
    <row r="249" spans="1:47" x14ac:dyDescent="0.25">
      <c r="AN249" s="102" t="s">
        <v>4639</v>
      </c>
      <c r="AP249" s="227">
        <v>1</v>
      </c>
    </row>
    <row r="492" spans="1:40" s="173" customFormat="1" x14ac:dyDescent="0.25">
      <c r="A492" s="25"/>
      <c r="B492" s="167"/>
      <c r="C492" s="162"/>
      <c r="D492" s="162"/>
      <c r="E492" s="162"/>
      <c r="F492" s="220"/>
      <c r="G492" s="221"/>
      <c r="H492" s="228"/>
      <c r="I492" s="164"/>
      <c r="J492" s="224"/>
      <c r="K492" s="222"/>
      <c r="L492" s="223"/>
      <c r="M492" s="223"/>
      <c r="N492" s="167"/>
      <c r="O492" s="167"/>
      <c r="P492" s="224"/>
      <c r="Q492" s="224"/>
      <c r="R492" s="224"/>
      <c r="S492" s="165"/>
      <c r="T492" s="165"/>
      <c r="U492" s="225"/>
      <c r="V492" s="225"/>
      <c r="W492" s="225"/>
      <c r="X492" s="225"/>
      <c r="Y492" s="225"/>
      <c r="Z492" s="225"/>
      <c r="AA492" s="225"/>
      <c r="AB492" s="225"/>
      <c r="AC492" s="225"/>
      <c r="AD492" s="225"/>
      <c r="AE492" s="225"/>
      <c r="AF492" s="225"/>
      <c r="AG492" s="227"/>
      <c r="AH492" s="227"/>
      <c r="AI492" s="178"/>
      <c r="AJ492" s="178"/>
      <c r="AK492" s="168"/>
      <c r="AL492" s="226"/>
      <c r="AM492" s="402"/>
      <c r="AN492" s="466"/>
    </row>
  </sheetData>
  <autoFilter ref="A1:AU249">
    <filterColumn colId="21" showButton="0"/>
    <filterColumn colId="22" showButton="0"/>
  </autoFilter>
  <mergeCells count="8">
    <mergeCell ref="B203:B204"/>
    <mergeCell ref="E203:E204"/>
    <mergeCell ref="B16:B19"/>
    <mergeCell ref="E16:E19"/>
    <mergeCell ref="V1:X1"/>
    <mergeCell ref="B2:B7"/>
    <mergeCell ref="E2:E5"/>
    <mergeCell ref="E6:E7"/>
  </mergeCells>
  <hyperlinks>
    <hyperlink ref="F3" r:id="rId1"/>
    <hyperlink ref="F16" r:id="rId2"/>
    <hyperlink ref="F4" r:id="rId3"/>
    <hyperlink ref="F26" r:id="rId4" display="СИБЭРСИБЭМ-25/3080"/>
    <hyperlink ref="F28" r:id="rId5"/>
    <hyperlink ref="F5" r:id="rId6"/>
    <hyperlink ref="F6" r:id="rId7"/>
    <hyperlink ref="F18" r:id="rId8"/>
    <hyperlink ref="F19" r:id="rId9"/>
    <hyperlink ref="F7" r:id="rId10"/>
    <hyperlink ref="F2" r:id="rId11"/>
    <hyperlink ref="F30" r:id="rId12"/>
    <hyperlink ref="F31" r:id="rId13"/>
    <hyperlink ref="F36" r:id="rId14" display="Дог.СИБЭРСИБЭМ-25/3912"/>
    <hyperlink ref="F40" r:id="rId15"/>
    <hyperlink ref="F44" r:id="rId16"/>
    <hyperlink ref="F41" r:id="rId17"/>
    <hyperlink ref="F20" r:id="rId18"/>
    <hyperlink ref="F21" r:id="rId19"/>
    <hyperlink ref="F22" r:id="rId20"/>
    <hyperlink ref="F42" r:id="rId21"/>
    <hyperlink ref="F45" r:id="rId22"/>
    <hyperlink ref="F46" r:id="rId23"/>
    <hyperlink ref="F48" r:id="rId24"/>
    <hyperlink ref="F50" r:id="rId25"/>
    <hyperlink ref="F38" r:id="rId26"/>
    <hyperlink ref="AB44" r:id="rId27"/>
    <hyperlink ref="AB53" r:id="rId28"/>
    <hyperlink ref="F63" r:id="rId29"/>
    <hyperlink ref="F66" r:id="rId30"/>
    <hyperlink ref="F75" r:id="rId31"/>
    <hyperlink ref="AB75" r:id="rId32"/>
    <hyperlink ref="F67" r:id="rId33"/>
    <hyperlink ref="F77" r:id="rId34"/>
    <hyperlink ref="AB77" r:id="rId35"/>
    <hyperlink ref="F81" r:id="rId36"/>
    <hyperlink ref="F83" r:id="rId37"/>
    <hyperlink ref="AB83" r:id="rId38"/>
    <hyperlink ref="F53" r:id="rId39"/>
    <hyperlink ref="F55" r:id="rId40"/>
    <hyperlink ref="F60" r:id="rId41"/>
    <hyperlink ref="F86" r:id="rId42"/>
    <hyperlink ref="F88" r:id="rId43"/>
    <hyperlink ref="F68" r:id="rId44"/>
    <hyperlink ref="F69" r:id="rId45"/>
    <hyperlink ref="F70" r:id="rId46"/>
    <hyperlink ref="F95" r:id="rId47"/>
    <hyperlink ref="AB95" r:id="rId48"/>
    <hyperlink ref="F97" r:id="rId49"/>
    <hyperlink ref="AB97" r:id="rId50"/>
    <hyperlink ref="F99" r:id="rId51"/>
    <hyperlink ref="AB99" r:id="rId52"/>
    <hyperlink ref="AB101" r:id="rId53"/>
    <hyperlink ref="F101" r:id="rId54"/>
    <hyperlink ref="F103" r:id="rId55"/>
    <hyperlink ref="AB103" r:id="rId56"/>
    <hyperlink ref="F105" r:id="rId57"/>
    <hyperlink ref="AB105" r:id="rId58"/>
    <hyperlink ref="F107" r:id="rId59"/>
    <hyperlink ref="AB109" r:id="rId60"/>
    <hyperlink ref="F109" r:id="rId61"/>
    <hyperlink ref="F111" r:id="rId62"/>
    <hyperlink ref="F113" r:id="rId63"/>
    <hyperlink ref="F115" r:id="rId64"/>
    <hyperlink ref="AB115" r:id="rId65"/>
    <hyperlink ref="AB117" r:id="rId66"/>
    <hyperlink ref="F117" r:id="rId67"/>
    <hyperlink ref="F120" r:id="rId68"/>
    <hyperlink ref="AB120" r:id="rId69"/>
    <hyperlink ref="F122" r:id="rId70"/>
    <hyperlink ref="AB122" r:id="rId71"/>
    <hyperlink ref="F124" r:id="rId72"/>
    <hyperlink ref="AB124" r:id="rId73"/>
    <hyperlink ref="F126" r:id="rId74"/>
    <hyperlink ref="F128" r:id="rId75"/>
    <hyperlink ref="F132" r:id="rId76"/>
    <hyperlink ref="F134" r:id="rId77"/>
    <hyperlink ref="AB136" r:id="rId78" display="mailto:energorem@rushydro.ru"/>
    <hyperlink ref="F136" r:id="rId79"/>
    <hyperlink ref="F138" r:id="rId80"/>
    <hyperlink ref="AB140" r:id="rId81"/>
    <hyperlink ref="F140" r:id="rId82"/>
    <hyperlink ref="F142" r:id="rId83"/>
    <hyperlink ref="F144" r:id="rId84"/>
    <hyperlink ref="F146" r:id="rId85"/>
    <hyperlink ref="AB146" r:id="rId86"/>
    <hyperlink ref="F149" r:id="rId87"/>
    <hyperlink ref="F150" r:id="rId88"/>
    <hyperlink ref="F151" r:id="rId89"/>
    <hyperlink ref="F71" r:id="rId90"/>
    <hyperlink ref="F72" r:id="rId91"/>
    <hyperlink ref="F73" r:id="rId92"/>
    <hyperlink ref="F84" r:id="rId93"/>
    <hyperlink ref="AB118" r:id="rId94"/>
    <hyperlink ref="F118" r:id="rId95"/>
    <hyperlink ref="AB153" r:id="rId96"/>
    <hyperlink ref="F155" r:id="rId97"/>
    <hyperlink ref="F157" r:id="rId98"/>
    <hyperlink ref="AB157" r:id="rId99"/>
    <hyperlink ref="F160" r:id="rId100"/>
    <hyperlink ref="AB160" r:id="rId101"/>
    <hyperlink ref="F162" r:id="rId102"/>
    <hyperlink ref="AB162" r:id="rId103"/>
    <hyperlink ref="F164" r:id="rId104"/>
    <hyperlink ref="AB166" r:id="rId105"/>
    <hyperlink ref="F166" r:id="rId106"/>
    <hyperlink ref="F61" r:id="rId107"/>
    <hyperlink ref="F78" r:id="rId108"/>
    <hyperlink ref="AB168" r:id="rId109"/>
    <hyperlink ref="F168" r:id="rId110"/>
    <hyperlink ref="AB158" r:id="rId111"/>
    <hyperlink ref="F158" r:id="rId112"/>
    <hyperlink ref="AB170" r:id="rId113"/>
    <hyperlink ref="F170" r:id="rId114"/>
    <hyperlink ref="AB173" r:id="rId115"/>
    <hyperlink ref="F173" r:id="rId116"/>
    <hyperlink ref="F175" r:id="rId117"/>
    <hyperlink ref="F171" r:id="rId118"/>
    <hyperlink ref="F177" r:id="rId119"/>
    <hyperlink ref="AB188" r:id="rId120"/>
    <hyperlink ref="F188" r:id="rId121"/>
    <hyperlink ref="F191" r:id="rId122"/>
    <hyperlink ref="AB201" r:id="rId123"/>
    <hyperlink ref="F201" r:id="rId124"/>
    <hyperlink ref="F203" r:id="rId125"/>
    <hyperlink ref="AB203" r:id="rId126"/>
    <hyperlink ref="F207" r:id="rId127"/>
    <hyperlink ref="F209" r:id="rId128"/>
    <hyperlink ref="F211" r:id="rId129"/>
    <hyperlink ref="F204" r:id="rId130"/>
    <hyperlink ref="AB213" r:id="rId131"/>
    <hyperlink ref="F213" r:id="rId132"/>
    <hyperlink ref="F216" r:id="rId133"/>
    <hyperlink ref="AB216" r:id="rId134"/>
    <hyperlink ref="F220" r:id="rId135"/>
    <hyperlink ref="AB220" r:id="rId136"/>
    <hyperlink ref="AB223" r:id="rId137"/>
    <hyperlink ref="F223" r:id="rId138"/>
    <hyperlink ref="AB225" r:id="rId139"/>
    <hyperlink ref="F225" r:id="rId140"/>
    <hyperlink ref="F227" r:id="rId141" display="Дог.СИБЭРСИБЭМ-25/3872"/>
    <hyperlink ref="AB227" r:id="rId142"/>
    <hyperlink ref="F229" r:id="rId143"/>
    <hyperlink ref="F231" r:id="rId144"/>
    <hyperlink ref="AB231" r:id="rId145"/>
    <hyperlink ref="F233" r:id="rId146"/>
    <hyperlink ref="AB233" r:id="rId147"/>
    <hyperlink ref="AB234" r:id="rId148"/>
    <hyperlink ref="AB235" r:id="rId149"/>
    <hyperlink ref="F235" r:id="rId150"/>
    <hyperlink ref="F236" r:id="rId151"/>
    <hyperlink ref="F238" r:id="rId152"/>
    <hyperlink ref="F199" r:id="rId153"/>
    <hyperlink ref="F217" r:id="rId154"/>
    <hyperlink ref="F218" r:id="rId155"/>
    <hyperlink ref="AB218" r:id="rId156"/>
    <hyperlink ref="AB214" r:id="rId157"/>
    <hyperlink ref="F153" r:id="rId158"/>
    <hyperlink ref="F8" r:id="rId159" display=" Соглашение №4 о переводе долга"/>
    <hyperlink ref="F12" r:id="rId160"/>
    <hyperlink ref="F32" r:id="rId161"/>
    <hyperlink ref="F34" r:id="rId162"/>
    <hyperlink ref="F57" r:id="rId163"/>
    <hyperlink ref="F79" r:id="rId164"/>
    <hyperlink ref="F89" r:id="rId165"/>
    <hyperlink ref="F90" r:id="rId166"/>
    <hyperlink ref="AB221" r:id="rId167"/>
    <hyperlink ref="F198" r:id="rId168"/>
    <hyperlink ref="F195" r:id="rId169"/>
    <hyperlink ref="F240" r:id="rId170"/>
  </hyperlinks>
  <pageMargins left="0.7" right="0.7" top="0.75" bottom="0.75" header="0.3" footer="0.3"/>
  <pageSetup paperSize="9" scale="10" fitToHeight="3" orientation="landscape" r:id="rId171"/>
  <extLst>
    <ext xmlns:x14="http://schemas.microsoft.com/office/spreadsheetml/2009/9/main" uri="{CCE6A557-97BC-4b89-ADB6-D9C93CAAB3DF}">
      <x14:dataValidations xmlns:xm="http://schemas.microsoft.com/office/excel/2006/main" count="2">
        <x14:dataValidation type="list" allowBlank="1" showInputMessage="1" showErrorMessage="1">
          <x14:formula1>
            <xm:f>'\\sibgenco.local\share\TGK13_SIBEI_Disk_S\Договорной_отдел_рабочая\[реестр рабочий с 01.06.2021.xlsx]Лист1'!#REF!</xm:f>
          </x14:formula1>
          <xm:sqref>J42 J20:J24 J48 L45:M46 J45:J46 L42:M42 J50:J51</xm:sqref>
        </x14:dataValidation>
        <x14:dataValidation type="list" allowBlank="1" showInputMessage="1" showErrorMessage="1">
          <x14:formula1>
            <xm:f>'S:\Договорной_отдел_рабочая\[реестр рабочий с 01.06.2021 г..xlsx]Лист1'!#REF!</xm:f>
          </x14:formula1>
          <xm:sqref>S55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67"/>
  <sheetViews>
    <sheetView tabSelected="1" topLeftCell="Q1" zoomScale="80" zoomScaleNormal="80" workbookViewId="0">
      <pane ySplit="2" topLeftCell="A54" activePane="bottomLeft" state="frozen"/>
      <selection activeCell="Z1" sqref="Z1"/>
      <selection pane="bottomLeft" activeCell="AJ73" sqref="AJ73"/>
    </sheetView>
  </sheetViews>
  <sheetFormatPr defaultColWidth="8.85546875" defaultRowHeight="15.75" x14ac:dyDescent="0.25"/>
  <cols>
    <col min="1" max="1" width="8.85546875" style="138"/>
    <col min="2" max="2" width="20.85546875" style="162" customWidth="1"/>
    <col min="3" max="3" width="20.28515625" style="162" customWidth="1"/>
    <col min="4" max="4" width="18.85546875" style="162" customWidth="1"/>
    <col min="5" max="5" width="17.5703125" style="162" customWidth="1"/>
    <col min="6" max="6" width="23" style="163" customWidth="1"/>
    <col min="7" max="7" width="16" style="162" customWidth="1"/>
    <col min="8" max="8" width="19.28515625" style="162" customWidth="1"/>
    <col min="9" max="9" width="32.85546875" style="164" customWidth="1"/>
    <col min="10" max="10" width="21.85546875" style="164" hidden="1" customWidth="1"/>
    <col min="11" max="11" width="21.28515625" style="165" customWidth="1"/>
    <col min="12" max="12" width="21.140625" style="165" customWidth="1"/>
    <col min="13" max="13" width="37.5703125" style="166" customWidth="1"/>
    <col min="14" max="14" width="34.7109375" style="164" customWidth="1"/>
    <col min="15" max="15" width="18.42578125" style="164" customWidth="1"/>
    <col min="16" max="16" width="29.5703125" style="167" customWidth="1"/>
    <col min="17" max="17" width="18" style="162" customWidth="1"/>
    <col min="18" max="18" width="16.140625" style="162" customWidth="1"/>
    <col min="19" max="19" width="21.85546875" style="162" customWidth="1"/>
    <col min="20" max="20" width="20.85546875" style="164" customWidth="1"/>
    <col min="21" max="21" width="20.140625" style="164" customWidth="1"/>
    <col min="22" max="22" width="23.7109375" style="168" customWidth="1"/>
    <col min="23" max="23" width="18.85546875" style="168" customWidth="1"/>
    <col min="24" max="24" width="30" style="168" customWidth="1"/>
    <col min="25" max="25" width="26.140625" style="169" customWidth="1"/>
    <col min="26" max="26" width="32.140625" style="169" customWidth="1"/>
    <col min="27" max="27" width="28.140625" style="170" customWidth="1"/>
    <col min="28" max="28" width="38.28515625" style="169" customWidth="1"/>
    <col min="29" max="29" width="32.140625" style="169" customWidth="1"/>
    <col min="30" max="30" width="31.7109375" style="170" customWidth="1"/>
    <col min="31" max="16384" width="8.85546875" style="138"/>
  </cols>
  <sheetData>
    <row r="1" spans="1:34" s="2" customFormat="1" ht="15" customHeight="1" x14ac:dyDescent="0.25">
      <c r="B1" s="518" t="s">
        <v>0</v>
      </c>
      <c r="C1" s="496" t="s">
        <v>1</v>
      </c>
      <c r="D1" s="500" t="s">
        <v>8</v>
      </c>
      <c r="E1" s="500" t="s">
        <v>156</v>
      </c>
      <c r="F1" s="500" t="s">
        <v>2</v>
      </c>
      <c r="G1" s="500" t="s">
        <v>10</v>
      </c>
      <c r="H1" s="498" t="s">
        <v>157</v>
      </c>
      <c r="I1" s="500" t="s">
        <v>5</v>
      </c>
      <c r="J1" s="496" t="s">
        <v>7</v>
      </c>
      <c r="K1" s="502" t="s">
        <v>3</v>
      </c>
      <c r="L1" s="502" t="s">
        <v>158</v>
      </c>
      <c r="M1" s="504" t="s">
        <v>154</v>
      </c>
      <c r="N1" s="500" t="s">
        <v>160</v>
      </c>
      <c r="O1" s="500" t="s">
        <v>166</v>
      </c>
      <c r="P1" s="500" t="s">
        <v>159</v>
      </c>
      <c r="Q1" s="500" t="s">
        <v>6</v>
      </c>
      <c r="R1" s="496" t="s">
        <v>4</v>
      </c>
      <c r="S1" s="496" t="s">
        <v>155</v>
      </c>
      <c r="T1" s="491" t="s">
        <v>146</v>
      </c>
      <c r="U1" s="491" t="s">
        <v>147</v>
      </c>
      <c r="V1" s="492" t="s">
        <v>148</v>
      </c>
      <c r="W1" s="492"/>
      <c r="X1" s="493"/>
      <c r="Y1" s="522" t="s">
        <v>152</v>
      </c>
      <c r="Z1" s="522" t="s">
        <v>153</v>
      </c>
      <c r="AA1" s="521" t="s">
        <v>4751</v>
      </c>
      <c r="AB1" s="522" t="s">
        <v>4752</v>
      </c>
      <c r="AC1" s="522" t="s">
        <v>4750</v>
      </c>
      <c r="AD1" s="521" t="s">
        <v>4751</v>
      </c>
    </row>
    <row r="2" spans="1:34" s="2" customFormat="1" ht="48.6" customHeight="1" thickBot="1" x14ac:dyDescent="0.3">
      <c r="B2" s="519"/>
      <c r="C2" s="520"/>
      <c r="D2" s="510"/>
      <c r="E2" s="501"/>
      <c r="F2" s="501"/>
      <c r="G2" s="501"/>
      <c r="H2" s="499"/>
      <c r="I2" s="501"/>
      <c r="J2" s="497"/>
      <c r="K2" s="503"/>
      <c r="L2" s="503"/>
      <c r="M2" s="505"/>
      <c r="N2" s="501"/>
      <c r="O2" s="501"/>
      <c r="P2" s="501"/>
      <c r="Q2" s="501"/>
      <c r="R2" s="497"/>
      <c r="S2" s="497"/>
      <c r="T2" s="491"/>
      <c r="U2" s="491"/>
      <c r="V2" s="214" t="s">
        <v>149</v>
      </c>
      <c r="W2" s="214" t="s">
        <v>150</v>
      </c>
      <c r="X2" s="215" t="s">
        <v>151</v>
      </c>
      <c r="Y2" s="522"/>
      <c r="Z2" s="522"/>
      <c r="AA2" s="521"/>
      <c r="AB2" s="522"/>
      <c r="AC2" s="522"/>
      <c r="AD2" s="521"/>
    </row>
    <row r="3" spans="1:34" s="2" customFormat="1" ht="326.25" customHeight="1" x14ac:dyDescent="0.25">
      <c r="A3" s="477">
        <v>1</v>
      </c>
      <c r="B3" s="317" t="s">
        <v>316</v>
      </c>
      <c r="C3" s="315" t="s">
        <v>317</v>
      </c>
      <c r="D3" s="317">
        <v>7453131043</v>
      </c>
      <c r="E3" s="317">
        <v>1000075005</v>
      </c>
      <c r="F3" s="478" t="s">
        <v>318</v>
      </c>
      <c r="G3" s="346">
        <v>8000677726</v>
      </c>
      <c r="H3" s="347">
        <v>45590</v>
      </c>
      <c r="I3" s="341" t="s">
        <v>319</v>
      </c>
      <c r="J3" s="341" t="s">
        <v>162</v>
      </c>
      <c r="K3" s="337">
        <v>119862180.81999999</v>
      </c>
      <c r="L3" s="337"/>
      <c r="M3" s="341" t="s">
        <v>320</v>
      </c>
      <c r="N3" s="341" t="s">
        <v>321</v>
      </c>
      <c r="O3" s="349"/>
      <c r="P3" s="317" t="s">
        <v>322</v>
      </c>
      <c r="Q3" s="317" t="s">
        <v>168</v>
      </c>
      <c r="R3" s="317" t="s">
        <v>520</v>
      </c>
      <c r="S3" s="337"/>
      <c r="T3" s="337">
        <v>35958654.25</v>
      </c>
      <c r="U3" s="337">
        <v>35958654.25</v>
      </c>
      <c r="V3" s="331"/>
      <c r="W3" s="331"/>
      <c r="X3" s="331"/>
      <c r="Y3" s="331" t="s">
        <v>4754</v>
      </c>
      <c r="Z3" s="331" t="s">
        <v>4779</v>
      </c>
      <c r="AA3" s="331"/>
      <c r="AB3" s="331" t="s">
        <v>4760</v>
      </c>
      <c r="AC3" s="331" t="s">
        <v>4755</v>
      </c>
      <c r="AD3" s="331" t="s">
        <v>4753</v>
      </c>
      <c r="AH3" s="533"/>
    </row>
    <row r="4" spans="1:34" s="2" customFormat="1" ht="91.5" customHeight="1" x14ac:dyDescent="0.25">
      <c r="A4" s="477"/>
      <c r="B4" s="317" t="s">
        <v>316</v>
      </c>
      <c r="C4" s="315" t="s">
        <v>317</v>
      </c>
      <c r="D4" s="317">
        <v>7453131043</v>
      </c>
      <c r="E4" s="317">
        <v>1000075005</v>
      </c>
      <c r="F4" s="478" t="s">
        <v>456</v>
      </c>
      <c r="G4" s="346"/>
      <c r="H4" s="347"/>
      <c r="I4" s="341" t="s">
        <v>457</v>
      </c>
      <c r="J4" s="341"/>
      <c r="K4" s="337"/>
      <c r="L4" s="337"/>
      <c r="M4" s="341"/>
      <c r="N4" s="325">
        <v>45755</v>
      </c>
      <c r="O4" s="349"/>
      <c r="P4" s="317"/>
      <c r="Q4" s="317"/>
      <c r="R4" s="317"/>
      <c r="S4" s="337"/>
      <c r="T4" s="337"/>
      <c r="U4" s="337"/>
      <c r="V4" s="331"/>
      <c r="W4" s="331"/>
      <c r="X4" s="331"/>
      <c r="Y4" s="479"/>
      <c r="Z4" s="479"/>
      <c r="AA4" s="479"/>
      <c r="AB4" s="479"/>
      <c r="AC4" s="479"/>
      <c r="AD4" s="479"/>
    </row>
    <row r="5" spans="1:34" s="2" customFormat="1" x14ac:dyDescent="0.25">
      <c r="B5" s="8"/>
      <c r="C5" s="8"/>
      <c r="D5" s="8"/>
      <c r="E5" s="8"/>
      <c r="F5" s="37"/>
      <c r="G5" s="22"/>
      <c r="H5" s="8"/>
      <c r="I5" s="15"/>
      <c r="J5" s="15"/>
      <c r="K5" s="42"/>
      <c r="L5" s="42">
        <f>K3+L3</f>
        <v>119862180.81999999</v>
      </c>
      <c r="M5" s="15"/>
      <c r="N5" s="31"/>
      <c r="O5" s="15"/>
      <c r="P5" s="8"/>
      <c r="Q5" s="8"/>
      <c r="R5" s="8"/>
      <c r="S5" s="8" t="s">
        <v>37</v>
      </c>
      <c r="T5" s="15" t="s">
        <v>37</v>
      </c>
      <c r="U5" s="15" t="s">
        <v>37</v>
      </c>
      <c r="V5" s="33"/>
      <c r="W5" s="33"/>
      <c r="X5" s="33"/>
      <c r="Y5" s="33"/>
      <c r="Z5" s="33"/>
      <c r="AA5" s="52"/>
      <c r="AB5" s="33"/>
      <c r="AC5" s="33"/>
      <c r="AD5" s="52"/>
    </row>
    <row r="6" spans="1:34" s="1" customFormat="1" ht="183" customHeight="1" x14ac:dyDescent="0.25">
      <c r="A6" s="359">
        <v>1</v>
      </c>
      <c r="B6" s="315" t="s">
        <v>63</v>
      </c>
      <c r="C6" s="316" t="s">
        <v>64</v>
      </c>
      <c r="D6" s="315">
        <v>7726685798</v>
      </c>
      <c r="E6" s="317">
        <v>1000100506</v>
      </c>
      <c r="F6" s="318" t="s">
        <v>89</v>
      </c>
      <c r="G6" s="319">
        <v>8000576431</v>
      </c>
      <c r="H6" s="320">
        <v>45175</v>
      </c>
      <c r="I6" s="321" t="s">
        <v>91</v>
      </c>
      <c r="J6" s="321" t="s">
        <v>165</v>
      </c>
      <c r="K6" s="322">
        <v>59881292.399999999</v>
      </c>
      <c r="L6" s="323"/>
      <c r="M6" s="358" t="s">
        <v>90</v>
      </c>
      <c r="N6" s="321" t="s">
        <v>113</v>
      </c>
      <c r="O6" s="325">
        <v>45503</v>
      </c>
      <c r="P6" s="321" t="s">
        <v>92</v>
      </c>
      <c r="Q6" s="326" t="s">
        <v>38</v>
      </c>
      <c r="R6" s="317" t="s">
        <v>530</v>
      </c>
      <c r="S6" s="337">
        <v>6173036.0999999996</v>
      </c>
      <c r="T6" s="337">
        <v>6173036.0999999996</v>
      </c>
      <c r="U6" s="328">
        <v>0</v>
      </c>
      <c r="V6" s="329"/>
      <c r="W6" s="329"/>
      <c r="X6" s="329"/>
      <c r="Y6" s="331" t="s">
        <v>4756</v>
      </c>
      <c r="Z6" s="331" t="s">
        <v>4758</v>
      </c>
      <c r="AA6" s="331" t="s">
        <v>4786</v>
      </c>
      <c r="AB6" s="331" t="s">
        <v>37</v>
      </c>
      <c r="AC6" s="334"/>
      <c r="AD6" s="334"/>
      <c r="AH6" s="530"/>
    </row>
    <row r="7" spans="1:34" s="1" customFormat="1" ht="42.75" customHeight="1" x14ac:dyDescent="0.25">
      <c r="A7" s="359"/>
      <c r="B7" s="315" t="s">
        <v>63</v>
      </c>
      <c r="C7" s="316" t="s">
        <v>64</v>
      </c>
      <c r="D7" s="315">
        <v>7726685798</v>
      </c>
      <c r="E7" s="317">
        <v>1000100506</v>
      </c>
      <c r="F7" s="318" t="s">
        <v>112</v>
      </c>
      <c r="G7" s="319">
        <v>9000430970</v>
      </c>
      <c r="H7" s="320">
        <v>45327</v>
      </c>
      <c r="I7" s="321" t="s">
        <v>95</v>
      </c>
      <c r="J7" s="321" t="s">
        <v>165</v>
      </c>
      <c r="K7" s="322">
        <v>0</v>
      </c>
      <c r="L7" s="323"/>
      <c r="M7" s="324" t="s">
        <v>11</v>
      </c>
      <c r="N7" s="321" t="s">
        <v>117</v>
      </c>
      <c r="O7" s="325"/>
      <c r="P7" s="321" t="s">
        <v>114</v>
      </c>
      <c r="Q7" s="326" t="s">
        <v>77</v>
      </c>
      <c r="R7" s="317"/>
      <c r="S7" s="337"/>
      <c r="T7" s="337"/>
      <c r="U7" s="328"/>
      <c r="V7" s="329"/>
      <c r="W7" s="329"/>
      <c r="X7" s="329"/>
      <c r="Y7" s="330"/>
      <c r="Z7" s="330"/>
      <c r="AA7" s="331"/>
      <c r="AB7" s="330"/>
      <c r="AC7" s="330"/>
      <c r="AD7" s="331"/>
    </row>
    <row r="8" spans="1:34" s="1" customFormat="1" ht="42.75" customHeight="1" x14ac:dyDescent="0.25">
      <c r="A8" s="359"/>
      <c r="B8" s="315" t="s">
        <v>63</v>
      </c>
      <c r="C8" s="316" t="s">
        <v>64</v>
      </c>
      <c r="D8" s="315">
        <v>7726685798</v>
      </c>
      <c r="E8" s="317">
        <v>1000100506</v>
      </c>
      <c r="F8" s="318" t="s">
        <v>116</v>
      </c>
      <c r="G8" s="319">
        <v>9000440296</v>
      </c>
      <c r="H8" s="320">
        <v>45331</v>
      </c>
      <c r="I8" s="321" t="s">
        <v>95</v>
      </c>
      <c r="J8" s="321" t="s">
        <v>165</v>
      </c>
      <c r="K8" s="322">
        <v>0</v>
      </c>
      <c r="L8" s="323"/>
      <c r="M8" s="324" t="s">
        <v>11</v>
      </c>
      <c r="N8" s="321" t="s">
        <v>118</v>
      </c>
      <c r="O8" s="325"/>
      <c r="P8" s="321" t="s">
        <v>119</v>
      </c>
      <c r="Q8" s="326" t="s">
        <v>77</v>
      </c>
      <c r="R8" s="317"/>
      <c r="S8" s="337"/>
      <c r="T8" s="337"/>
      <c r="U8" s="328"/>
      <c r="V8" s="329"/>
      <c r="W8" s="329"/>
      <c r="X8" s="329"/>
      <c r="Y8" s="330"/>
      <c r="Z8" s="330"/>
      <c r="AA8" s="331"/>
      <c r="AB8" s="330"/>
      <c r="AC8" s="330"/>
      <c r="AD8" s="331"/>
    </row>
    <row r="9" spans="1:34" s="1" customFormat="1" ht="42.75" customHeight="1" x14ac:dyDescent="0.25">
      <c r="A9" s="359"/>
      <c r="B9" s="315" t="s">
        <v>63</v>
      </c>
      <c r="C9" s="316" t="s">
        <v>64</v>
      </c>
      <c r="D9" s="315">
        <v>7726685798</v>
      </c>
      <c r="E9" s="317">
        <v>1000100506</v>
      </c>
      <c r="F9" s="318" t="s">
        <v>143</v>
      </c>
      <c r="G9" s="319">
        <v>9000469067</v>
      </c>
      <c r="H9" s="320">
        <v>45457</v>
      </c>
      <c r="I9" s="321" t="s">
        <v>95</v>
      </c>
      <c r="J9" s="321" t="s">
        <v>165</v>
      </c>
      <c r="K9" s="322">
        <v>0</v>
      </c>
      <c r="L9" s="323"/>
      <c r="M9" s="324" t="s">
        <v>11</v>
      </c>
      <c r="N9" s="321" t="s">
        <v>144</v>
      </c>
      <c r="O9" s="325"/>
      <c r="P9" s="321" t="s">
        <v>145</v>
      </c>
      <c r="Q9" s="326" t="s">
        <v>77</v>
      </c>
      <c r="R9" s="317" t="s">
        <v>531</v>
      </c>
      <c r="S9" s="337"/>
      <c r="T9" s="337"/>
      <c r="U9" s="328"/>
      <c r="V9" s="329"/>
      <c r="W9" s="329"/>
      <c r="X9" s="329"/>
      <c r="Y9" s="330"/>
      <c r="Z9" s="330"/>
      <c r="AA9" s="331"/>
      <c r="AB9" s="330"/>
      <c r="AC9" s="330"/>
      <c r="AD9" s="331"/>
    </row>
    <row r="10" spans="1:34" s="1" customFormat="1" ht="42.75" customHeight="1" x14ac:dyDescent="0.25">
      <c r="A10" s="359"/>
      <c r="B10" s="315" t="s">
        <v>63</v>
      </c>
      <c r="C10" s="316" t="s">
        <v>64</v>
      </c>
      <c r="D10" s="315">
        <v>7726685798</v>
      </c>
      <c r="E10" s="317">
        <v>1000100506</v>
      </c>
      <c r="F10" s="318" t="s">
        <v>223</v>
      </c>
      <c r="G10" s="319">
        <v>9000479755</v>
      </c>
      <c r="H10" s="320">
        <v>45509</v>
      </c>
      <c r="I10" s="321" t="s">
        <v>95</v>
      </c>
      <c r="J10" s="321" t="s">
        <v>165</v>
      </c>
      <c r="K10" s="322">
        <v>0</v>
      </c>
      <c r="L10" s="323"/>
      <c r="M10" s="324" t="s">
        <v>11</v>
      </c>
      <c r="N10" s="321" t="s">
        <v>221</v>
      </c>
      <c r="O10" s="325"/>
      <c r="P10" s="321" t="s">
        <v>222</v>
      </c>
      <c r="Q10" s="326" t="s">
        <v>168</v>
      </c>
      <c r="R10" s="317"/>
      <c r="S10" s="337"/>
      <c r="T10" s="337"/>
      <c r="U10" s="328"/>
      <c r="V10" s="329"/>
      <c r="W10" s="329"/>
      <c r="X10" s="329"/>
      <c r="Y10" s="330"/>
      <c r="Z10" s="330"/>
      <c r="AA10" s="331"/>
      <c r="AB10" s="330"/>
      <c r="AC10" s="330"/>
      <c r="AD10" s="331"/>
    </row>
    <row r="11" spans="1:34" s="2" customFormat="1" ht="17.25" customHeight="1" x14ac:dyDescent="0.25">
      <c r="B11" s="8"/>
      <c r="C11" s="9"/>
      <c r="D11" s="9"/>
      <c r="E11" s="8"/>
      <c r="F11" s="8"/>
      <c r="G11" s="36"/>
      <c r="H11" s="22"/>
      <c r="I11" s="9"/>
      <c r="J11" s="13"/>
      <c r="K11" s="13"/>
      <c r="L11" s="41">
        <v>59881292.399999999</v>
      </c>
      <c r="M11" s="41"/>
      <c r="N11" s="15"/>
      <c r="O11" s="13"/>
      <c r="P11" s="15"/>
      <c r="Q11" s="9"/>
      <c r="R11" s="9"/>
      <c r="S11" s="9"/>
      <c r="T11" s="8"/>
      <c r="U11" s="15"/>
      <c r="V11" s="15"/>
      <c r="W11" s="33"/>
      <c r="X11" s="33"/>
      <c r="Y11" s="33"/>
      <c r="Z11" s="33"/>
      <c r="AA11" s="33"/>
      <c r="AB11" s="33"/>
      <c r="AC11" s="33"/>
      <c r="AD11" s="33"/>
    </row>
    <row r="12" spans="1:34" ht="90" x14ac:dyDescent="0.25">
      <c r="A12" s="342">
        <v>1</v>
      </c>
      <c r="B12" s="317" t="s">
        <v>570</v>
      </c>
      <c r="C12" s="472" t="s">
        <v>571</v>
      </c>
      <c r="D12" s="326">
        <v>1644095331</v>
      </c>
      <c r="E12" s="338">
        <v>1000184376</v>
      </c>
      <c r="F12" s="339" t="s">
        <v>572</v>
      </c>
      <c r="G12" s="340">
        <v>8000746740</v>
      </c>
      <c r="H12" s="473">
        <v>45831</v>
      </c>
      <c r="I12" s="474" t="s">
        <v>573</v>
      </c>
      <c r="J12" s="474" t="s">
        <v>368</v>
      </c>
      <c r="K12" s="475">
        <v>132540924.93000001</v>
      </c>
      <c r="L12" s="475"/>
      <c r="M12" s="341" t="s">
        <v>574</v>
      </c>
      <c r="N12" s="474" t="s">
        <v>575</v>
      </c>
      <c r="O12" s="341"/>
      <c r="P12" s="472" t="s">
        <v>576</v>
      </c>
      <c r="Q12" s="326" t="s">
        <v>168</v>
      </c>
      <c r="R12" s="326" t="s">
        <v>105</v>
      </c>
      <c r="S12" s="337">
        <v>0</v>
      </c>
      <c r="T12" s="337">
        <v>5000000</v>
      </c>
      <c r="U12" s="328">
        <v>5000000</v>
      </c>
      <c r="V12" s="330"/>
      <c r="W12" s="330"/>
      <c r="X12" s="476"/>
      <c r="Y12" s="331" t="s">
        <v>4759</v>
      </c>
      <c r="Z12" s="331" t="s">
        <v>4766</v>
      </c>
      <c r="AA12" s="332" t="s">
        <v>4776</v>
      </c>
      <c r="AB12" s="331" t="s">
        <v>4765</v>
      </c>
      <c r="AC12" s="331" t="s">
        <v>4761</v>
      </c>
      <c r="AD12" s="332"/>
      <c r="AH12" s="534"/>
    </row>
    <row r="13" spans="1:34" ht="17.25" customHeight="1" x14ac:dyDescent="0.25">
      <c r="A13" s="159"/>
      <c r="B13" s="8"/>
      <c r="C13" s="9"/>
      <c r="D13" s="9"/>
      <c r="E13" s="8"/>
      <c r="F13" s="36"/>
      <c r="G13" s="22"/>
      <c r="H13" s="180"/>
      <c r="I13" s="13"/>
      <c r="J13" s="13"/>
      <c r="K13" s="41"/>
      <c r="L13" s="41">
        <f>K12+L12</f>
        <v>132540924.93000001</v>
      </c>
      <c r="M13" s="15"/>
      <c r="N13" s="13"/>
      <c r="O13" s="15"/>
      <c r="P13" s="9"/>
      <c r="Q13" s="9"/>
      <c r="R13" s="9"/>
      <c r="S13" s="189">
        <f>L13-S12</f>
        <v>132540924.93000001</v>
      </c>
      <c r="T13" s="187"/>
      <c r="U13" s="187"/>
      <c r="V13" s="33"/>
      <c r="W13" s="33"/>
      <c r="X13" s="33"/>
      <c r="Y13" s="33"/>
      <c r="Z13" s="33"/>
      <c r="AA13" s="52"/>
      <c r="AB13" s="33"/>
      <c r="AC13" s="33"/>
      <c r="AD13" s="52"/>
    </row>
    <row r="14" spans="1:34" ht="237" customHeight="1" x14ac:dyDescent="0.25">
      <c r="A14" s="342">
        <v>1</v>
      </c>
      <c r="B14" s="317" t="s">
        <v>570</v>
      </c>
      <c r="C14" s="338" t="s">
        <v>571</v>
      </c>
      <c r="D14" s="338">
        <v>1644095331</v>
      </c>
      <c r="E14" s="338">
        <v>1000184376</v>
      </c>
      <c r="F14" s="339" t="s">
        <v>830</v>
      </c>
      <c r="G14" s="343">
        <v>8000749093</v>
      </c>
      <c r="H14" s="344">
        <v>45868</v>
      </c>
      <c r="I14" s="341" t="s">
        <v>831</v>
      </c>
      <c r="J14" s="341" t="s">
        <v>368</v>
      </c>
      <c r="K14" s="254">
        <v>85575021.560000002</v>
      </c>
      <c r="L14" s="254"/>
      <c r="M14" s="341" t="s">
        <v>11</v>
      </c>
      <c r="N14" s="341" t="s">
        <v>832</v>
      </c>
      <c r="O14" s="341"/>
      <c r="P14" s="317" t="s">
        <v>833</v>
      </c>
      <c r="Q14" s="338" t="s">
        <v>168</v>
      </c>
      <c r="R14" s="338" t="s">
        <v>476</v>
      </c>
      <c r="S14" s="337">
        <v>0</v>
      </c>
      <c r="T14" s="337">
        <v>5000000</v>
      </c>
      <c r="U14" s="328" t="s">
        <v>910</v>
      </c>
      <c r="V14" s="330"/>
      <c r="W14" s="330"/>
      <c r="X14" s="330"/>
      <c r="Y14" s="331" t="s">
        <v>4762</v>
      </c>
      <c r="Z14" s="331" t="s">
        <v>4766</v>
      </c>
      <c r="AA14" s="332" t="s">
        <v>4775</v>
      </c>
      <c r="AB14" s="331" t="s">
        <v>4763</v>
      </c>
      <c r="AC14" s="331" t="s">
        <v>4764</v>
      </c>
      <c r="AD14" s="332"/>
      <c r="AH14" s="534" t="s">
        <v>4787</v>
      </c>
    </row>
    <row r="15" spans="1:34" x14ac:dyDescent="0.25">
      <c r="A15" s="159"/>
      <c r="B15" s="4"/>
      <c r="C15" s="4"/>
      <c r="D15" s="4"/>
      <c r="E15" s="4"/>
      <c r="F15" s="37"/>
      <c r="G15" s="30"/>
      <c r="H15" s="4"/>
      <c r="I15" s="15"/>
      <c r="J15" s="15"/>
      <c r="K15" s="55"/>
      <c r="L15" s="55">
        <f>K14+L14</f>
        <v>85575021.560000002</v>
      </c>
      <c r="M15" s="17"/>
      <c r="N15" s="15"/>
      <c r="O15" s="15"/>
      <c r="P15" s="8"/>
      <c r="Q15" s="4"/>
      <c r="R15" s="4"/>
      <c r="S15" s="189">
        <f>L15-S14</f>
        <v>85575021.560000002</v>
      </c>
      <c r="T15" s="15"/>
      <c r="U15" s="15"/>
      <c r="V15" s="33"/>
      <c r="W15" s="33"/>
      <c r="X15" s="33"/>
      <c r="Y15" s="33"/>
      <c r="Z15" s="33"/>
      <c r="AA15" s="52"/>
      <c r="AB15" s="33"/>
      <c r="AC15" s="33"/>
      <c r="AD15" s="52"/>
    </row>
    <row r="16" spans="1:34" ht="126" customHeight="1" x14ac:dyDescent="0.25">
      <c r="A16" s="342">
        <v>1</v>
      </c>
      <c r="B16" s="317" t="s">
        <v>570</v>
      </c>
      <c r="C16" s="338" t="s">
        <v>571</v>
      </c>
      <c r="D16" s="338">
        <v>1644095331</v>
      </c>
      <c r="E16" s="338">
        <v>1000184376</v>
      </c>
      <c r="F16" s="339" t="s">
        <v>834</v>
      </c>
      <c r="G16" s="343">
        <v>8000749639</v>
      </c>
      <c r="H16" s="344">
        <v>45868</v>
      </c>
      <c r="I16" s="341" t="s">
        <v>835</v>
      </c>
      <c r="J16" s="341" t="s">
        <v>645</v>
      </c>
      <c r="K16" s="254">
        <v>12471833.49</v>
      </c>
      <c r="L16" s="254"/>
      <c r="M16" s="341" t="s">
        <v>11</v>
      </c>
      <c r="N16" s="341" t="s">
        <v>832</v>
      </c>
      <c r="O16" s="341"/>
      <c r="P16" s="317" t="s">
        <v>836</v>
      </c>
      <c r="Q16" s="338" t="s">
        <v>168</v>
      </c>
      <c r="R16" s="338" t="s">
        <v>476</v>
      </c>
      <c r="S16" s="337">
        <v>0</v>
      </c>
      <c r="T16" s="337">
        <v>0</v>
      </c>
      <c r="U16" s="328">
        <v>0</v>
      </c>
      <c r="V16" s="330"/>
      <c r="W16" s="330"/>
      <c r="X16" s="330"/>
      <c r="Y16" s="332" t="s">
        <v>4454</v>
      </c>
      <c r="Z16" s="331" t="s">
        <v>4766</v>
      </c>
      <c r="AA16" s="332" t="s">
        <v>1576</v>
      </c>
      <c r="AB16" s="331" t="s">
        <v>4767</v>
      </c>
      <c r="AC16" s="331" t="s">
        <v>4768</v>
      </c>
      <c r="AD16" s="330"/>
      <c r="AH16" s="534" t="s">
        <v>4787</v>
      </c>
    </row>
    <row r="17" spans="1:34" x14ac:dyDescent="0.25">
      <c r="A17" s="159"/>
      <c r="B17" s="4"/>
      <c r="C17" s="4"/>
      <c r="D17" s="4"/>
      <c r="E17" s="4"/>
      <c r="F17" s="37"/>
      <c r="G17" s="30"/>
      <c r="H17" s="4"/>
      <c r="I17" s="15"/>
      <c r="J17" s="15"/>
      <c r="K17" s="55"/>
      <c r="L17" s="55">
        <f>K16+L16</f>
        <v>12471833.49</v>
      </c>
      <c r="M17" s="17"/>
      <c r="N17" s="15"/>
      <c r="O17" s="15"/>
      <c r="P17" s="8"/>
      <c r="Q17" s="4"/>
      <c r="R17" s="4"/>
      <c r="S17" s="189">
        <f>L17-S16</f>
        <v>12471833.49</v>
      </c>
      <c r="T17" s="15"/>
      <c r="U17" s="15"/>
      <c r="V17" s="33"/>
      <c r="W17" s="33"/>
      <c r="X17" s="33"/>
      <c r="Y17" s="33"/>
      <c r="Z17" s="33"/>
      <c r="AA17" s="33"/>
      <c r="AB17" s="33"/>
      <c r="AC17" s="33"/>
      <c r="AD17" s="52"/>
    </row>
    <row r="18" spans="1:34" ht="135" x14ac:dyDescent="0.25">
      <c r="A18" s="342">
        <v>1</v>
      </c>
      <c r="B18" s="338" t="s">
        <v>868</v>
      </c>
      <c r="C18" s="317" t="s">
        <v>869</v>
      </c>
      <c r="D18" s="338">
        <v>1644095331</v>
      </c>
      <c r="E18" s="338">
        <v>1000184376</v>
      </c>
      <c r="F18" s="351" t="s">
        <v>870</v>
      </c>
      <c r="G18" s="340">
        <v>8000753821</v>
      </c>
      <c r="H18" s="352">
        <v>45868</v>
      </c>
      <c r="I18" s="341" t="s">
        <v>871</v>
      </c>
      <c r="J18" s="341" t="s">
        <v>645</v>
      </c>
      <c r="K18" s="254">
        <v>42964893.439999998</v>
      </c>
      <c r="L18" s="254"/>
      <c r="M18" s="355" t="s">
        <v>11</v>
      </c>
      <c r="N18" s="341" t="s">
        <v>832</v>
      </c>
      <c r="O18" s="341"/>
      <c r="P18" s="317" t="s">
        <v>872</v>
      </c>
      <c r="Q18" s="338" t="s">
        <v>13</v>
      </c>
      <c r="R18" s="338" t="s">
        <v>873</v>
      </c>
      <c r="S18" s="337">
        <v>0</v>
      </c>
      <c r="T18" s="337">
        <v>0</v>
      </c>
      <c r="U18" s="328">
        <v>0</v>
      </c>
      <c r="V18" s="330"/>
      <c r="W18" s="330"/>
      <c r="X18" s="330"/>
      <c r="Y18" s="332" t="s">
        <v>4457</v>
      </c>
      <c r="Z18" s="331" t="s">
        <v>4766</v>
      </c>
      <c r="AA18" s="332" t="s">
        <v>1576</v>
      </c>
      <c r="AB18" s="331" t="s">
        <v>4769</v>
      </c>
      <c r="AC18" s="331" t="s">
        <v>4770</v>
      </c>
      <c r="AD18" s="332"/>
      <c r="AH18" s="534" t="s">
        <v>4787</v>
      </c>
    </row>
    <row r="19" spans="1:34" x14ac:dyDescent="0.25">
      <c r="A19" s="159"/>
      <c r="B19" s="4"/>
      <c r="C19" s="4"/>
      <c r="D19" s="4"/>
      <c r="E19" s="4"/>
      <c r="F19" s="37"/>
      <c r="G19" s="30"/>
      <c r="H19" s="4"/>
      <c r="I19" s="15"/>
      <c r="J19" s="15"/>
      <c r="K19" s="55"/>
      <c r="L19" s="55">
        <f>SUM(K18:K19)</f>
        <v>42964893.439999998</v>
      </c>
      <c r="M19" s="17"/>
      <c r="N19" s="15"/>
      <c r="O19" s="15"/>
      <c r="P19" s="8"/>
      <c r="Q19" s="4"/>
      <c r="R19" s="4"/>
      <c r="S19" s="189">
        <f>L19-S18</f>
        <v>42964893.439999998</v>
      </c>
      <c r="T19" s="15"/>
      <c r="U19" s="15"/>
      <c r="V19" s="33"/>
      <c r="W19" s="33"/>
      <c r="X19" s="33"/>
      <c r="Y19" s="33"/>
      <c r="Z19" s="33"/>
      <c r="AA19" s="52"/>
      <c r="AB19" s="33"/>
      <c r="AC19" s="33"/>
      <c r="AD19" s="52"/>
    </row>
    <row r="20" spans="1:34" ht="90" x14ac:dyDescent="0.25">
      <c r="A20" s="342">
        <v>1</v>
      </c>
      <c r="B20" s="338" t="s">
        <v>380</v>
      </c>
      <c r="C20" s="317" t="s">
        <v>31</v>
      </c>
      <c r="D20" s="338" t="s">
        <v>17</v>
      </c>
      <c r="E20" s="338">
        <v>1000128349</v>
      </c>
      <c r="F20" s="351" t="s">
        <v>381</v>
      </c>
      <c r="G20" s="340">
        <v>8000702722</v>
      </c>
      <c r="H20" s="352" t="s">
        <v>382</v>
      </c>
      <c r="I20" s="341" t="s">
        <v>383</v>
      </c>
      <c r="J20" s="341" t="s">
        <v>162</v>
      </c>
      <c r="K20" s="254">
        <v>18043221.949999999</v>
      </c>
      <c r="L20" s="254"/>
      <c r="M20" s="355" t="s">
        <v>384</v>
      </c>
      <c r="N20" s="341" t="s">
        <v>385</v>
      </c>
      <c r="O20" s="341"/>
      <c r="P20" s="317" t="s">
        <v>386</v>
      </c>
      <c r="Q20" s="338" t="s">
        <v>13</v>
      </c>
      <c r="R20" s="338" t="s">
        <v>39</v>
      </c>
      <c r="S20" s="337">
        <v>13338705</v>
      </c>
      <c r="T20" s="337">
        <v>13338705</v>
      </c>
      <c r="U20" s="337">
        <v>5412966.5899999999</v>
      </c>
      <c r="V20" s="330"/>
      <c r="W20" s="330"/>
      <c r="X20" s="330"/>
      <c r="Y20" s="332" t="s">
        <v>4456</v>
      </c>
      <c r="Z20" s="331" t="s">
        <v>4766</v>
      </c>
      <c r="AA20" s="332" t="s">
        <v>4774</v>
      </c>
      <c r="AB20" s="332" t="s">
        <v>4771</v>
      </c>
      <c r="AC20" s="330"/>
      <c r="AD20" s="332"/>
      <c r="AH20" s="536"/>
    </row>
    <row r="21" spans="1:34" ht="60" x14ac:dyDescent="0.25">
      <c r="A21" s="342"/>
      <c r="B21" s="338" t="s">
        <v>380</v>
      </c>
      <c r="C21" s="317" t="s">
        <v>31</v>
      </c>
      <c r="D21" s="338" t="s">
        <v>17</v>
      </c>
      <c r="E21" s="338">
        <v>1000128349</v>
      </c>
      <c r="F21" s="351" t="s">
        <v>735</v>
      </c>
      <c r="G21" s="340">
        <v>9000553873</v>
      </c>
      <c r="H21" s="352">
        <v>45840</v>
      </c>
      <c r="I21" s="341" t="s">
        <v>736</v>
      </c>
      <c r="J21" s="341" t="s">
        <v>162</v>
      </c>
      <c r="K21" s="254">
        <v>0</v>
      </c>
      <c r="L21" s="254"/>
      <c r="M21" s="355" t="s">
        <v>11</v>
      </c>
      <c r="N21" s="341" t="s">
        <v>737</v>
      </c>
      <c r="O21" s="341"/>
      <c r="P21" s="317" t="s">
        <v>738</v>
      </c>
      <c r="Q21" s="338" t="s">
        <v>13</v>
      </c>
      <c r="R21" s="341" t="s">
        <v>39</v>
      </c>
      <c r="S21" s="337"/>
      <c r="T21" s="337"/>
      <c r="U21" s="337"/>
      <c r="V21" s="330"/>
      <c r="W21" s="330"/>
      <c r="X21" s="330"/>
      <c r="Y21" s="330"/>
      <c r="Z21" s="330"/>
      <c r="AA21" s="332"/>
      <c r="AB21" s="330"/>
      <c r="AC21" s="330"/>
      <c r="AD21" s="332"/>
    </row>
    <row r="22" spans="1:34" ht="17.25" customHeight="1" x14ac:dyDescent="0.25">
      <c r="A22" s="159"/>
      <c r="B22" s="8"/>
      <c r="C22" s="9"/>
      <c r="D22" s="9"/>
      <c r="E22" s="8"/>
      <c r="F22" s="36"/>
      <c r="G22" s="22"/>
      <c r="H22" s="180"/>
      <c r="I22" s="13"/>
      <c r="J22" s="13"/>
      <c r="K22" s="41"/>
      <c r="L22" s="41">
        <f>SUM(K20:K22)</f>
        <v>18043221.949999999</v>
      </c>
      <c r="M22" s="15"/>
      <c r="N22" s="13"/>
      <c r="O22" s="15"/>
      <c r="P22" s="9"/>
      <c r="Q22" s="9"/>
      <c r="R22" s="9"/>
      <c r="S22" s="189">
        <f>L22-S20</f>
        <v>4704516.9499999993</v>
      </c>
      <c r="T22" s="187"/>
      <c r="U22" s="187"/>
      <c r="V22" s="33"/>
      <c r="W22" s="33"/>
      <c r="X22" s="33"/>
      <c r="Y22" s="33"/>
      <c r="Z22" s="33"/>
      <c r="AA22" s="52"/>
      <c r="AB22" s="33"/>
      <c r="AC22" s="33"/>
      <c r="AD22" s="52"/>
    </row>
    <row r="23" spans="1:34" ht="120" x14ac:dyDescent="0.25">
      <c r="A23" s="342">
        <v>1</v>
      </c>
      <c r="B23" s="338" t="s">
        <v>699</v>
      </c>
      <c r="C23" s="317" t="s">
        <v>700</v>
      </c>
      <c r="D23" s="338">
        <v>2721193803</v>
      </c>
      <c r="E23" s="338">
        <v>1000176908</v>
      </c>
      <c r="F23" s="357" t="s">
        <v>701</v>
      </c>
      <c r="G23" s="338">
        <v>8000752550</v>
      </c>
      <c r="H23" s="352">
        <v>45859</v>
      </c>
      <c r="I23" s="341" t="s">
        <v>702</v>
      </c>
      <c r="J23" s="341" t="s">
        <v>653</v>
      </c>
      <c r="K23" s="254">
        <v>13954790.210000001</v>
      </c>
      <c r="L23" s="254"/>
      <c r="M23" s="341" t="s">
        <v>703</v>
      </c>
      <c r="N23" s="341" t="s">
        <v>704</v>
      </c>
      <c r="O23" s="341"/>
      <c r="P23" s="317" t="s">
        <v>705</v>
      </c>
      <c r="Q23" s="338" t="s">
        <v>13</v>
      </c>
      <c r="R23" s="317" t="s">
        <v>706</v>
      </c>
      <c r="S23" s="337">
        <v>573537.6</v>
      </c>
      <c r="T23" s="337">
        <v>4186437.06</v>
      </c>
      <c r="U23" s="328">
        <v>4186437.06</v>
      </c>
      <c r="V23" s="330"/>
      <c r="W23" s="330"/>
      <c r="X23" s="330"/>
      <c r="Y23" s="332" t="s">
        <v>4455</v>
      </c>
      <c r="Z23" s="331" t="s">
        <v>4766</v>
      </c>
      <c r="AA23" s="332" t="s">
        <v>4772</v>
      </c>
      <c r="AB23" s="332" t="s">
        <v>4771</v>
      </c>
      <c r="AC23" s="330"/>
      <c r="AD23" s="332"/>
      <c r="AH23" s="536" t="s">
        <v>4787</v>
      </c>
    </row>
    <row r="24" spans="1:34" x14ac:dyDescent="0.25">
      <c r="A24" s="159"/>
      <c r="B24" s="4"/>
      <c r="C24" s="4"/>
      <c r="D24" s="4"/>
      <c r="E24" s="4"/>
      <c r="F24" s="37"/>
      <c r="G24" s="4"/>
      <c r="H24" s="4"/>
      <c r="I24" s="15"/>
      <c r="J24" s="15"/>
      <c r="K24" s="55"/>
      <c r="L24" s="55">
        <v>13954790.210000001</v>
      </c>
      <c r="M24" s="17"/>
      <c r="N24" s="15"/>
      <c r="O24" s="15"/>
      <c r="P24" s="8"/>
      <c r="Q24" s="4"/>
      <c r="R24" s="4"/>
      <c r="S24" s="189">
        <f>L24-S23</f>
        <v>13381252.610000001</v>
      </c>
      <c r="T24" s="15"/>
      <c r="U24" s="15"/>
      <c r="V24" s="33"/>
      <c r="W24" s="33"/>
      <c r="X24" s="33"/>
      <c r="Y24" s="33"/>
      <c r="Z24" s="33"/>
      <c r="AA24" s="52"/>
      <c r="AB24" s="33"/>
      <c r="AC24" s="33"/>
      <c r="AD24" s="52"/>
    </row>
    <row r="25" spans="1:34" ht="75" x14ac:dyDescent="0.25">
      <c r="A25" s="342">
        <v>1</v>
      </c>
      <c r="B25" s="317" t="s">
        <v>248</v>
      </c>
      <c r="C25" s="317" t="s">
        <v>249</v>
      </c>
      <c r="D25" s="317">
        <v>7805781254</v>
      </c>
      <c r="E25" s="338">
        <v>1000151430</v>
      </c>
      <c r="F25" s="351" t="s">
        <v>895</v>
      </c>
      <c r="G25" s="340">
        <v>8000747981</v>
      </c>
      <c r="H25" s="352">
        <v>45876</v>
      </c>
      <c r="I25" s="341" t="s">
        <v>896</v>
      </c>
      <c r="J25" s="341"/>
      <c r="K25" s="254">
        <v>86490463.859999999</v>
      </c>
      <c r="L25" s="254"/>
      <c r="M25" s="355" t="s">
        <v>11</v>
      </c>
      <c r="N25" s="341" t="s">
        <v>897</v>
      </c>
      <c r="O25" s="341"/>
      <c r="P25" s="317" t="s">
        <v>898</v>
      </c>
      <c r="Q25" s="338" t="s">
        <v>881</v>
      </c>
      <c r="R25" s="338" t="s">
        <v>903</v>
      </c>
      <c r="S25" s="254">
        <v>0</v>
      </c>
      <c r="T25" s="337">
        <v>0</v>
      </c>
      <c r="U25" s="337">
        <v>0</v>
      </c>
      <c r="V25" s="330"/>
      <c r="W25" s="330"/>
      <c r="X25" s="330"/>
      <c r="Y25" s="332" t="s">
        <v>4452</v>
      </c>
      <c r="Z25" s="331" t="s">
        <v>4766</v>
      </c>
      <c r="AA25" s="332" t="s">
        <v>4773</v>
      </c>
      <c r="AB25" s="332" t="s">
        <v>4771</v>
      </c>
      <c r="AC25" s="330"/>
      <c r="AD25" s="332"/>
      <c r="AH25" s="536"/>
    </row>
    <row r="26" spans="1:34" x14ac:dyDescent="0.25">
      <c r="A26" s="159"/>
      <c r="B26" s="4"/>
      <c r="C26" s="4"/>
      <c r="D26" s="4"/>
      <c r="E26" s="4"/>
      <c r="F26" s="37"/>
      <c r="G26" s="30"/>
      <c r="H26" s="4"/>
      <c r="I26" s="15"/>
      <c r="J26" s="15"/>
      <c r="K26" s="55"/>
      <c r="L26" s="55">
        <f>SUM(K25)</f>
        <v>86490463.859999999</v>
      </c>
      <c r="M26" s="17"/>
      <c r="N26" s="15"/>
      <c r="O26" s="15"/>
      <c r="P26" s="8"/>
      <c r="Q26" s="4"/>
      <c r="R26" s="4"/>
      <c r="S26" s="4"/>
      <c r="T26" s="15"/>
      <c r="U26" s="15"/>
      <c r="V26" s="33"/>
      <c r="W26" s="33"/>
      <c r="X26" s="33"/>
      <c r="Y26" s="33"/>
      <c r="Z26" s="33"/>
      <c r="AA26" s="52"/>
      <c r="AB26" s="33"/>
      <c r="AC26" s="33"/>
      <c r="AD26" s="52"/>
    </row>
    <row r="27" spans="1:34" ht="120" x14ac:dyDescent="0.25">
      <c r="A27" s="342">
        <v>1</v>
      </c>
      <c r="B27" s="317" t="s">
        <v>248</v>
      </c>
      <c r="C27" s="317" t="s">
        <v>290</v>
      </c>
      <c r="D27" s="317">
        <v>7805781254</v>
      </c>
      <c r="E27" s="317">
        <v>1000151430</v>
      </c>
      <c r="F27" s="351" t="s">
        <v>427</v>
      </c>
      <c r="G27" s="338">
        <v>8000721176</v>
      </c>
      <c r="H27" s="352">
        <v>45748</v>
      </c>
      <c r="I27" s="341" t="s">
        <v>428</v>
      </c>
      <c r="J27" s="341" t="s">
        <v>357</v>
      </c>
      <c r="K27" s="254">
        <v>121134109.45</v>
      </c>
      <c r="L27" s="254"/>
      <c r="M27" s="353" t="s">
        <v>429</v>
      </c>
      <c r="N27" s="341" t="s">
        <v>611</v>
      </c>
      <c r="O27" s="341"/>
      <c r="P27" s="317" t="s">
        <v>430</v>
      </c>
      <c r="Q27" s="338" t="s">
        <v>168</v>
      </c>
      <c r="R27" s="338" t="s">
        <v>54</v>
      </c>
      <c r="S27" s="327">
        <v>178950350.90000001</v>
      </c>
      <c r="T27" s="327">
        <v>131946978.48999999</v>
      </c>
      <c r="U27" s="327">
        <v>3000000</v>
      </c>
      <c r="V27" s="330"/>
      <c r="W27" s="330"/>
      <c r="X27" s="330"/>
      <c r="Y27" s="332" t="s">
        <v>4790</v>
      </c>
      <c r="Z27" s="331" t="s">
        <v>4766</v>
      </c>
      <c r="AA27" s="331"/>
      <c r="AB27" s="332"/>
      <c r="AC27" s="331"/>
      <c r="AD27" s="332"/>
      <c r="AH27" s="541"/>
    </row>
    <row r="28" spans="1:34" ht="75" x14ac:dyDescent="0.25">
      <c r="A28" s="342"/>
      <c r="B28" s="317" t="s">
        <v>248</v>
      </c>
      <c r="C28" s="317" t="s">
        <v>290</v>
      </c>
      <c r="D28" s="317">
        <v>7805781254</v>
      </c>
      <c r="E28" s="317">
        <v>1000151430</v>
      </c>
      <c r="F28" s="351" t="s">
        <v>633</v>
      </c>
      <c r="G28" s="338">
        <v>9000550144</v>
      </c>
      <c r="H28" s="352">
        <v>45834</v>
      </c>
      <c r="I28" s="341" t="s">
        <v>634</v>
      </c>
      <c r="J28" s="341" t="s">
        <v>357</v>
      </c>
      <c r="K28" s="254">
        <v>130798844.36</v>
      </c>
      <c r="L28" s="254"/>
      <c r="M28" s="353"/>
      <c r="N28" s="341" t="s">
        <v>611</v>
      </c>
      <c r="O28" s="341"/>
      <c r="P28" s="317" t="s">
        <v>635</v>
      </c>
      <c r="Q28" s="338" t="s">
        <v>168</v>
      </c>
      <c r="R28" s="338" t="s">
        <v>54</v>
      </c>
      <c r="S28" s="254"/>
      <c r="T28" s="254"/>
      <c r="U28" s="254"/>
      <c r="V28" s="354"/>
      <c r="W28" s="330"/>
      <c r="X28" s="330"/>
      <c r="Y28" s="331"/>
      <c r="Z28" s="331"/>
      <c r="AA28" s="332"/>
      <c r="AB28" s="331"/>
      <c r="AC28" s="331"/>
      <c r="AD28" s="332"/>
    </row>
    <row r="29" spans="1:34" ht="60" x14ac:dyDescent="0.25">
      <c r="A29" s="342"/>
      <c r="B29" s="317" t="s">
        <v>248</v>
      </c>
      <c r="C29" s="317" t="s">
        <v>290</v>
      </c>
      <c r="D29" s="317">
        <v>7805781254</v>
      </c>
      <c r="E29" s="317">
        <v>1000151430</v>
      </c>
      <c r="F29" s="351" t="s">
        <v>817</v>
      </c>
      <c r="G29" s="338">
        <v>9000562011</v>
      </c>
      <c r="H29" s="352">
        <v>45888</v>
      </c>
      <c r="I29" s="341" t="s">
        <v>818</v>
      </c>
      <c r="J29" s="341" t="s">
        <v>357</v>
      </c>
      <c r="K29" s="254">
        <v>0</v>
      </c>
      <c r="L29" s="254"/>
      <c r="M29" s="353"/>
      <c r="N29" s="341" t="s">
        <v>819</v>
      </c>
      <c r="O29" s="341"/>
      <c r="P29" s="317" t="s">
        <v>820</v>
      </c>
      <c r="Q29" s="338" t="s">
        <v>168</v>
      </c>
      <c r="R29" s="338" t="s">
        <v>54</v>
      </c>
      <c r="S29" s="338"/>
      <c r="T29" s="341"/>
      <c r="U29" s="341"/>
      <c r="V29" s="354"/>
      <c r="W29" s="330"/>
      <c r="X29" s="330"/>
      <c r="Y29" s="330"/>
      <c r="Z29" s="330"/>
      <c r="AA29" s="332"/>
      <c r="AB29" s="330"/>
      <c r="AC29" s="330"/>
      <c r="AD29" s="332"/>
    </row>
    <row r="30" spans="1:34" ht="17.25" customHeight="1" x14ac:dyDescent="0.25">
      <c r="A30" s="159"/>
      <c r="B30" s="8"/>
      <c r="C30" s="8"/>
      <c r="D30" s="8"/>
      <c r="E30" s="8"/>
      <c r="F30" s="37"/>
      <c r="G30" s="8"/>
      <c r="H30" s="38"/>
      <c r="I30" s="15"/>
      <c r="J30" s="15"/>
      <c r="K30" s="42"/>
      <c r="L30" s="42">
        <f>SUM(K27:K28)</f>
        <v>251932953.81</v>
      </c>
      <c r="M30" s="15"/>
      <c r="N30" s="15"/>
      <c r="O30" s="15"/>
      <c r="P30" s="8"/>
      <c r="Q30" s="8"/>
      <c r="R30" s="8"/>
      <c r="S30" s="189">
        <f>L30-S27</f>
        <v>72982602.909999996</v>
      </c>
      <c r="T30" s="187"/>
      <c r="U30" s="187"/>
      <c r="V30" s="230"/>
      <c r="W30" s="33"/>
      <c r="X30" s="33"/>
      <c r="Y30" s="33"/>
      <c r="Z30" s="33"/>
      <c r="AA30" s="52"/>
      <c r="AB30" s="33"/>
      <c r="AC30" s="33"/>
      <c r="AD30" s="52"/>
    </row>
    <row r="31" spans="1:34" ht="75" x14ac:dyDescent="0.25">
      <c r="A31" s="342">
        <v>1</v>
      </c>
      <c r="B31" s="317" t="s">
        <v>196</v>
      </c>
      <c r="C31" s="317" t="s">
        <v>296</v>
      </c>
      <c r="D31" s="317">
        <v>1000100506</v>
      </c>
      <c r="E31" s="317">
        <v>7726685798</v>
      </c>
      <c r="F31" s="351" t="s">
        <v>1052</v>
      </c>
      <c r="G31" s="338">
        <v>8000764117</v>
      </c>
      <c r="H31" s="352">
        <v>45897</v>
      </c>
      <c r="I31" s="341" t="s">
        <v>1053</v>
      </c>
      <c r="J31" s="341"/>
      <c r="K31" s="254">
        <v>1220342.02</v>
      </c>
      <c r="L31" s="333"/>
      <c r="M31" s="353"/>
      <c r="N31" s="353" t="s">
        <v>1054</v>
      </c>
      <c r="O31" s="341"/>
      <c r="P31" s="317" t="s">
        <v>1055</v>
      </c>
      <c r="Q31" s="338">
        <v>0</v>
      </c>
      <c r="R31" s="341" t="s">
        <v>476</v>
      </c>
      <c r="S31" s="254">
        <v>0</v>
      </c>
      <c r="T31" s="337">
        <v>0</v>
      </c>
      <c r="U31" s="337">
        <v>0</v>
      </c>
      <c r="V31" s="354"/>
      <c r="W31" s="330"/>
      <c r="X31" s="330"/>
      <c r="Y31" s="332" t="s">
        <v>4451</v>
      </c>
      <c r="Z31" s="331" t="s">
        <v>4766</v>
      </c>
      <c r="AA31" s="332" t="s">
        <v>4772</v>
      </c>
      <c r="AB31" s="332" t="s">
        <v>4771</v>
      </c>
      <c r="AC31" s="331"/>
      <c r="AD31" s="332"/>
      <c r="AH31" s="536" t="s">
        <v>4787</v>
      </c>
    </row>
    <row r="32" spans="1:34" ht="75" x14ac:dyDescent="0.25">
      <c r="A32" s="342"/>
      <c r="B32" s="317" t="s">
        <v>196</v>
      </c>
      <c r="C32" s="317" t="s">
        <v>296</v>
      </c>
      <c r="D32" s="317">
        <v>7726685798</v>
      </c>
      <c r="E32" s="317">
        <v>1000100506</v>
      </c>
      <c r="F32" s="351" t="s">
        <v>1424</v>
      </c>
      <c r="G32" s="338">
        <v>9000573242</v>
      </c>
      <c r="H32" s="352">
        <v>45954</v>
      </c>
      <c r="I32" s="341" t="s">
        <v>1425</v>
      </c>
      <c r="J32" s="341"/>
      <c r="K32" s="254">
        <v>1702321.2</v>
      </c>
      <c r="L32" s="333"/>
      <c r="M32" s="353"/>
      <c r="N32" s="353" t="s">
        <v>1426</v>
      </c>
      <c r="O32" s="341"/>
      <c r="P32" s="317" t="s">
        <v>1427</v>
      </c>
      <c r="Q32" s="338"/>
      <c r="R32" s="341" t="s">
        <v>476</v>
      </c>
      <c r="S32" s="254"/>
      <c r="T32" s="254"/>
      <c r="U32" s="254"/>
      <c r="V32" s="354"/>
      <c r="W32" s="330"/>
      <c r="X32" s="330"/>
      <c r="Y32" s="331"/>
      <c r="Z32" s="331"/>
      <c r="AA32" s="332"/>
      <c r="AB32" s="331"/>
      <c r="AC32" s="331"/>
      <c r="AD32" s="332"/>
    </row>
    <row r="33" spans="1:34" ht="17.25" customHeight="1" x14ac:dyDescent="0.25">
      <c r="A33" s="159"/>
      <c r="B33" s="8"/>
      <c r="C33" s="8"/>
      <c r="D33" s="8"/>
      <c r="E33" s="8"/>
      <c r="F33" s="37"/>
      <c r="G33" s="8"/>
      <c r="H33" s="38"/>
      <c r="I33" s="15"/>
      <c r="J33" s="15">
        <f>SUM(K31:K32)</f>
        <v>2922663.2199999997</v>
      </c>
      <c r="K33" s="42"/>
      <c r="L33" s="42">
        <f>SUM(K31:K32)</f>
        <v>2922663.2199999997</v>
      </c>
      <c r="M33" s="15"/>
      <c r="N33" s="15"/>
      <c r="O33" s="15"/>
      <c r="P33" s="8"/>
      <c r="Q33" s="8"/>
      <c r="R33" s="8"/>
      <c r="S33" s="189"/>
      <c r="T33" s="187"/>
      <c r="U33" s="187"/>
      <c r="V33" s="33"/>
      <c r="W33" s="33"/>
      <c r="X33" s="33"/>
      <c r="Y33" s="33"/>
      <c r="Z33" s="33"/>
      <c r="AA33" s="52"/>
      <c r="AB33" s="33"/>
      <c r="AC33" s="33"/>
      <c r="AD33" s="52"/>
    </row>
    <row r="34" spans="1:34" s="160" customFormat="1" ht="98.25" customHeight="1" x14ac:dyDescent="0.25">
      <c r="A34" s="335">
        <v>1</v>
      </c>
      <c r="B34" s="315" t="s">
        <v>248</v>
      </c>
      <c r="C34" s="316" t="s">
        <v>249</v>
      </c>
      <c r="D34" s="315">
        <v>7805781254</v>
      </c>
      <c r="E34" s="317">
        <v>1000151430</v>
      </c>
      <c r="F34" s="318" t="s">
        <v>250</v>
      </c>
      <c r="G34" s="319">
        <v>8000670053</v>
      </c>
      <c r="H34" s="320">
        <v>45546</v>
      </c>
      <c r="I34" s="321" t="s">
        <v>251</v>
      </c>
      <c r="J34" s="321" t="s">
        <v>195</v>
      </c>
      <c r="K34" s="322">
        <v>102375000</v>
      </c>
      <c r="L34" s="323"/>
      <c r="M34" s="324" t="s">
        <v>252</v>
      </c>
      <c r="N34" s="321" t="s">
        <v>253</v>
      </c>
      <c r="O34" s="325"/>
      <c r="P34" s="321" t="s">
        <v>254</v>
      </c>
      <c r="Q34" s="326" t="s">
        <v>168</v>
      </c>
      <c r="R34" s="317" t="s">
        <v>39</v>
      </c>
      <c r="S34" s="254">
        <v>230184519.30000001</v>
      </c>
      <c r="T34" s="254">
        <v>229584519.30000001</v>
      </c>
      <c r="U34" s="337" t="s">
        <v>618</v>
      </c>
      <c r="V34" s="329"/>
      <c r="W34" s="329"/>
      <c r="X34" s="356"/>
      <c r="Y34" s="332" t="s">
        <v>1605</v>
      </c>
      <c r="Z34" s="332" t="s">
        <v>4453</v>
      </c>
      <c r="AA34" s="332" t="s">
        <v>4772</v>
      </c>
      <c r="AB34" s="332" t="s">
        <v>4771</v>
      </c>
      <c r="AC34" s="356"/>
      <c r="AD34" s="356"/>
      <c r="AH34" s="537"/>
    </row>
    <row r="35" spans="1:34" s="160" customFormat="1" ht="97.5" customHeight="1" x14ac:dyDescent="0.25">
      <c r="A35" s="335"/>
      <c r="B35" s="315" t="s">
        <v>248</v>
      </c>
      <c r="C35" s="316" t="s">
        <v>249</v>
      </c>
      <c r="D35" s="315">
        <v>7805781254</v>
      </c>
      <c r="E35" s="317">
        <v>1000151430</v>
      </c>
      <c r="F35" s="318" t="s">
        <v>396</v>
      </c>
      <c r="G35" s="319">
        <v>9000501568</v>
      </c>
      <c r="H35" s="320">
        <v>45629</v>
      </c>
      <c r="I35" s="321" t="s">
        <v>931</v>
      </c>
      <c r="J35" s="321" t="s">
        <v>354</v>
      </c>
      <c r="K35" s="322">
        <v>17619000</v>
      </c>
      <c r="L35" s="323"/>
      <c r="M35" s="324" t="s">
        <v>11</v>
      </c>
      <c r="N35" s="321" t="s">
        <v>351</v>
      </c>
      <c r="O35" s="325"/>
      <c r="P35" s="321" t="s">
        <v>352</v>
      </c>
      <c r="Q35" s="326" t="s">
        <v>168</v>
      </c>
      <c r="R35" s="317" t="s">
        <v>54</v>
      </c>
      <c r="S35" s="336"/>
      <c r="T35" s="337"/>
      <c r="U35" s="328"/>
      <c r="V35" s="329"/>
      <c r="W35" s="329"/>
      <c r="X35" s="329"/>
      <c r="Y35" s="330"/>
      <c r="Z35" s="330"/>
      <c r="AA35" s="356"/>
      <c r="AB35" s="330"/>
      <c r="AC35" s="330"/>
      <c r="AD35" s="356"/>
    </row>
    <row r="36" spans="1:34" s="160" customFormat="1" ht="42.75" customHeight="1" x14ac:dyDescent="0.25">
      <c r="A36" s="335"/>
      <c r="B36" s="315" t="s">
        <v>248</v>
      </c>
      <c r="C36" s="316" t="s">
        <v>249</v>
      </c>
      <c r="D36" s="315">
        <v>7805781254</v>
      </c>
      <c r="E36" s="317">
        <v>1000151430</v>
      </c>
      <c r="F36" s="318" t="s">
        <v>397</v>
      </c>
      <c r="G36" s="319">
        <v>9000507667</v>
      </c>
      <c r="H36" s="320">
        <v>45636</v>
      </c>
      <c r="I36" s="321" t="s">
        <v>358</v>
      </c>
      <c r="J36" s="321" t="s">
        <v>354</v>
      </c>
      <c r="K36" s="322">
        <v>168659400</v>
      </c>
      <c r="L36" s="323"/>
      <c r="M36" s="324" t="s">
        <v>932</v>
      </c>
      <c r="N36" s="321" t="s">
        <v>351</v>
      </c>
      <c r="O36" s="325"/>
      <c r="P36" s="321" t="s">
        <v>359</v>
      </c>
      <c r="Q36" s="326" t="s">
        <v>168</v>
      </c>
      <c r="R36" s="317" t="s">
        <v>54</v>
      </c>
      <c r="S36" s="336"/>
      <c r="T36" s="337"/>
      <c r="U36" s="328"/>
      <c r="V36" s="329"/>
      <c r="W36" s="329"/>
      <c r="X36" s="329"/>
      <c r="Y36" s="330"/>
      <c r="Z36" s="330"/>
      <c r="AA36" s="356"/>
      <c r="AB36" s="330"/>
      <c r="AC36" s="330"/>
      <c r="AD36" s="356"/>
    </row>
    <row r="37" spans="1:34" x14ac:dyDescent="0.25">
      <c r="B37" s="8"/>
      <c r="C37" s="8"/>
      <c r="D37" s="8"/>
      <c r="E37" s="8"/>
      <c r="F37" s="37"/>
      <c r="G37" s="22"/>
      <c r="H37" s="8"/>
      <c r="I37" s="15"/>
      <c r="J37" s="15"/>
      <c r="K37" s="42"/>
      <c r="L37" s="42">
        <f>K34+K35+K36</f>
        <v>288653400</v>
      </c>
      <c r="M37" s="15"/>
      <c r="N37" s="15"/>
      <c r="O37" s="15"/>
      <c r="P37" s="8"/>
      <c r="Q37" s="8"/>
      <c r="R37" s="8"/>
      <c r="S37" s="199">
        <f>L37-S34</f>
        <v>58468880.699999988</v>
      </c>
      <c r="T37" s="15"/>
      <c r="U37" s="15"/>
      <c r="V37" s="33"/>
      <c r="W37" s="33"/>
      <c r="X37" s="33"/>
      <c r="Y37" s="69"/>
      <c r="Z37" s="69"/>
      <c r="AA37" s="70"/>
      <c r="AB37" s="69"/>
      <c r="AC37" s="69"/>
      <c r="AD37" s="70"/>
    </row>
    <row r="38" spans="1:34" ht="120" x14ac:dyDescent="0.25">
      <c r="A38" s="342">
        <v>1</v>
      </c>
      <c r="B38" s="315" t="s">
        <v>14</v>
      </c>
      <c r="C38" s="315" t="s">
        <v>31</v>
      </c>
      <c r="D38" s="315">
        <v>2723161148</v>
      </c>
      <c r="E38" s="317">
        <v>1000128349</v>
      </c>
      <c r="F38" s="345" t="s">
        <v>269</v>
      </c>
      <c r="G38" s="346">
        <v>8000665872</v>
      </c>
      <c r="H38" s="347">
        <v>45527</v>
      </c>
      <c r="I38" s="341" t="s">
        <v>264</v>
      </c>
      <c r="J38" s="341" t="s">
        <v>162</v>
      </c>
      <c r="K38" s="337">
        <v>3602695.18</v>
      </c>
      <c r="L38" s="348"/>
      <c r="M38" s="341" t="s">
        <v>265</v>
      </c>
      <c r="N38" s="317" t="s">
        <v>266</v>
      </c>
      <c r="O38" s="349"/>
      <c r="P38" s="341" t="s">
        <v>267</v>
      </c>
      <c r="Q38" s="317" t="s">
        <v>168</v>
      </c>
      <c r="R38" s="317" t="s">
        <v>268</v>
      </c>
      <c r="S38" s="327">
        <v>3035792.49</v>
      </c>
      <c r="T38" s="327">
        <v>2960863.29</v>
      </c>
      <c r="U38" s="328">
        <v>1080808.55</v>
      </c>
      <c r="V38" s="329"/>
      <c r="W38" s="329"/>
      <c r="X38" s="329"/>
      <c r="Y38" s="332" t="s">
        <v>1607</v>
      </c>
      <c r="Z38" s="331" t="s">
        <v>4766</v>
      </c>
      <c r="AA38" s="332" t="s">
        <v>4773</v>
      </c>
      <c r="AB38" s="332" t="s">
        <v>4771</v>
      </c>
      <c r="AC38" s="331"/>
      <c r="AD38" s="332"/>
      <c r="AH38" s="536"/>
    </row>
    <row r="39" spans="1:34" ht="60" x14ac:dyDescent="0.25">
      <c r="A39" s="342"/>
      <c r="B39" s="315" t="s">
        <v>14</v>
      </c>
      <c r="C39" s="315" t="s">
        <v>31</v>
      </c>
      <c r="D39" s="315">
        <v>2723161148</v>
      </c>
      <c r="E39" s="317">
        <v>1000128349</v>
      </c>
      <c r="F39" s="345" t="s">
        <v>1106</v>
      </c>
      <c r="G39" s="346">
        <v>9000572266</v>
      </c>
      <c r="H39" s="347">
        <v>45953</v>
      </c>
      <c r="I39" s="341" t="s">
        <v>1107</v>
      </c>
      <c r="J39" s="341" t="s">
        <v>162</v>
      </c>
      <c r="K39" s="337">
        <v>680224.05</v>
      </c>
      <c r="L39" s="348"/>
      <c r="M39" s="341" t="s">
        <v>11</v>
      </c>
      <c r="N39" s="317" t="s">
        <v>1108</v>
      </c>
      <c r="O39" s="349"/>
      <c r="P39" s="341" t="s">
        <v>1109</v>
      </c>
      <c r="Q39" s="317" t="s">
        <v>168</v>
      </c>
      <c r="R39" s="317" t="s">
        <v>1110</v>
      </c>
      <c r="S39" s="327"/>
      <c r="T39" s="327"/>
      <c r="U39" s="328"/>
      <c r="V39" s="329"/>
      <c r="W39" s="329"/>
      <c r="X39" s="329"/>
      <c r="Y39" s="350"/>
      <c r="Z39" s="331"/>
      <c r="AA39" s="332"/>
      <c r="AB39" s="350"/>
      <c r="AC39" s="331"/>
      <c r="AD39" s="332"/>
    </row>
    <row r="40" spans="1:34" x14ac:dyDescent="0.25">
      <c r="A40" s="159"/>
      <c r="B40" s="8"/>
      <c r="C40" s="8"/>
      <c r="D40" s="8"/>
      <c r="E40" s="8"/>
      <c r="F40" s="37"/>
      <c r="G40" s="22"/>
      <c r="H40" s="8"/>
      <c r="I40" s="15"/>
      <c r="J40" s="15"/>
      <c r="K40" s="42"/>
      <c r="L40" s="42">
        <f>SUM(K38:K39)</f>
        <v>4282919.2300000004</v>
      </c>
      <c r="M40" s="15"/>
      <c r="N40" s="15"/>
      <c r="O40" s="15"/>
      <c r="P40" s="8"/>
      <c r="Q40" s="8"/>
      <c r="R40" s="8"/>
      <c r="S40" s="42">
        <f>L40-S38</f>
        <v>1247126.7400000002</v>
      </c>
      <c r="T40" s="229"/>
      <c r="U40" s="229"/>
      <c r="V40" s="33"/>
      <c r="W40" s="33"/>
      <c r="X40" s="33"/>
      <c r="Y40" s="33"/>
      <c r="Z40" s="33"/>
      <c r="AA40" s="33"/>
      <c r="AB40" s="33"/>
      <c r="AC40" s="33"/>
      <c r="AD40" s="33"/>
    </row>
    <row r="41" spans="1:34" ht="105" x14ac:dyDescent="0.25">
      <c r="A41" s="342">
        <v>1</v>
      </c>
      <c r="B41" s="338" t="s">
        <v>29</v>
      </c>
      <c r="C41" s="317" t="s">
        <v>36</v>
      </c>
      <c r="D41" s="338">
        <v>2460217895</v>
      </c>
      <c r="E41" s="338">
        <v>1000095882</v>
      </c>
      <c r="F41" s="351" t="s">
        <v>32</v>
      </c>
      <c r="G41" s="340">
        <v>8000451783</v>
      </c>
      <c r="H41" s="352">
        <v>44663</v>
      </c>
      <c r="I41" s="341" t="s">
        <v>33</v>
      </c>
      <c r="J41" s="341" t="s">
        <v>103</v>
      </c>
      <c r="K41" s="254">
        <v>252250000</v>
      </c>
      <c r="L41" s="254"/>
      <c r="M41" s="355" t="s">
        <v>620</v>
      </c>
      <c r="N41" s="341" t="s">
        <v>66</v>
      </c>
      <c r="O41" s="341">
        <v>45047</v>
      </c>
      <c r="P41" s="317" t="s">
        <v>34</v>
      </c>
      <c r="Q41" s="338" t="s">
        <v>16</v>
      </c>
      <c r="R41" s="338" t="s">
        <v>44</v>
      </c>
      <c r="S41" s="337">
        <v>187197324.16999999</v>
      </c>
      <c r="T41" s="337">
        <v>186361822.41999999</v>
      </c>
      <c r="U41" s="328">
        <v>25225000</v>
      </c>
      <c r="V41" s="330" t="s">
        <v>228</v>
      </c>
      <c r="W41" s="330">
        <v>25225000</v>
      </c>
      <c r="X41" s="330" t="s">
        <v>229</v>
      </c>
      <c r="Y41" s="332" t="s">
        <v>1613</v>
      </c>
      <c r="Z41" s="331" t="s">
        <v>4766</v>
      </c>
      <c r="AA41" s="334"/>
      <c r="AB41" s="332" t="s">
        <v>4777</v>
      </c>
      <c r="AC41" s="332" t="s">
        <v>4746</v>
      </c>
      <c r="AD41" s="332"/>
      <c r="AH41" s="534"/>
    </row>
    <row r="42" spans="1:34" ht="60" x14ac:dyDescent="0.25">
      <c r="A42" s="342"/>
      <c r="B42" s="338" t="s">
        <v>29</v>
      </c>
      <c r="C42" s="317" t="s">
        <v>36</v>
      </c>
      <c r="D42" s="338">
        <v>2460217895</v>
      </c>
      <c r="E42" s="338">
        <v>1000095882</v>
      </c>
      <c r="F42" s="351" t="s">
        <v>212</v>
      </c>
      <c r="G42" s="340">
        <v>9000345305</v>
      </c>
      <c r="H42" s="352">
        <v>44902</v>
      </c>
      <c r="I42" s="341" t="s">
        <v>52</v>
      </c>
      <c r="J42" s="341" t="s">
        <v>103</v>
      </c>
      <c r="K42" s="254">
        <v>0</v>
      </c>
      <c r="L42" s="254"/>
      <c r="M42" s="355" t="s">
        <v>11</v>
      </c>
      <c r="N42" s="341"/>
      <c r="O42" s="341"/>
      <c r="P42" s="317"/>
      <c r="Q42" s="338" t="s">
        <v>16</v>
      </c>
      <c r="R42" s="338" t="s">
        <v>53</v>
      </c>
      <c r="S42" s="337"/>
      <c r="T42" s="337"/>
      <c r="U42" s="328"/>
      <c r="V42" s="330"/>
      <c r="W42" s="330"/>
      <c r="X42" s="330"/>
      <c r="Y42" s="330"/>
      <c r="Z42" s="330"/>
      <c r="AA42" s="332"/>
      <c r="AB42" s="330"/>
      <c r="AC42" s="330"/>
      <c r="AD42" s="332"/>
    </row>
    <row r="43" spans="1:34" ht="60" x14ac:dyDescent="0.25">
      <c r="A43" s="342"/>
      <c r="B43" s="338" t="s">
        <v>29</v>
      </c>
      <c r="C43" s="317" t="s">
        <v>36</v>
      </c>
      <c r="D43" s="338">
        <v>2460217896</v>
      </c>
      <c r="E43" s="338">
        <v>1000095882</v>
      </c>
      <c r="F43" s="351" t="s">
        <v>213</v>
      </c>
      <c r="G43" s="340">
        <v>9000368069</v>
      </c>
      <c r="H43" s="352">
        <v>45001</v>
      </c>
      <c r="I43" s="341" t="s">
        <v>72</v>
      </c>
      <c r="J43" s="341" t="s">
        <v>103</v>
      </c>
      <c r="K43" s="254">
        <v>0</v>
      </c>
      <c r="L43" s="254"/>
      <c r="M43" s="355" t="s">
        <v>11</v>
      </c>
      <c r="N43" s="341">
        <v>45047</v>
      </c>
      <c r="O43" s="341"/>
      <c r="P43" s="317" t="s">
        <v>73</v>
      </c>
      <c r="Q43" s="338" t="s">
        <v>16</v>
      </c>
      <c r="R43" s="338" t="s">
        <v>53</v>
      </c>
      <c r="S43" s="337"/>
      <c r="T43" s="337"/>
      <c r="U43" s="328"/>
      <c r="V43" s="330"/>
      <c r="W43" s="330"/>
      <c r="X43" s="330"/>
      <c r="Y43" s="330"/>
      <c r="Z43" s="330"/>
      <c r="AA43" s="332"/>
      <c r="AB43" s="330"/>
      <c r="AC43" s="330"/>
      <c r="AD43" s="332"/>
    </row>
    <row r="44" spans="1:34" ht="17.25" customHeight="1" x14ac:dyDescent="0.25">
      <c r="B44" s="8"/>
      <c r="C44" s="9"/>
      <c r="D44" s="9"/>
      <c r="E44" s="8"/>
      <c r="F44" s="8"/>
      <c r="G44" s="36"/>
      <c r="H44" s="22"/>
      <c r="I44" s="9"/>
      <c r="J44" s="13"/>
      <c r="K44" s="13"/>
      <c r="L44" s="41">
        <f>SUM(K41:K44)</f>
        <v>252250000</v>
      </c>
      <c r="M44" s="41"/>
      <c r="N44" s="15"/>
      <c r="O44" s="13"/>
      <c r="P44" s="15"/>
      <c r="Q44" s="9"/>
      <c r="R44" s="9"/>
      <c r="S44" s="198">
        <f>L44-S41</f>
        <v>65052675.830000013</v>
      </c>
      <c r="T44" s="8"/>
      <c r="U44" s="15"/>
      <c r="V44" s="15"/>
      <c r="W44" s="33"/>
      <c r="X44" s="33"/>
      <c r="Y44" s="33"/>
      <c r="Z44" s="33"/>
      <c r="AA44" s="33"/>
      <c r="AB44" s="33"/>
      <c r="AC44" s="33"/>
      <c r="AD44" s="33"/>
    </row>
    <row r="45" spans="1:34" s="160" customFormat="1" ht="195" x14ac:dyDescent="0.25">
      <c r="A45" s="335">
        <v>1</v>
      </c>
      <c r="B45" s="315" t="s">
        <v>14</v>
      </c>
      <c r="C45" s="316" t="s">
        <v>31</v>
      </c>
      <c r="D45" s="315">
        <v>2723161150</v>
      </c>
      <c r="E45" s="317">
        <v>1000128349</v>
      </c>
      <c r="F45" s="318" t="s">
        <v>47</v>
      </c>
      <c r="G45" s="319">
        <v>8000499258</v>
      </c>
      <c r="H45" s="320">
        <v>44910</v>
      </c>
      <c r="I45" s="321" t="s">
        <v>49</v>
      </c>
      <c r="J45" s="321" t="s">
        <v>163</v>
      </c>
      <c r="K45" s="322">
        <v>58700000</v>
      </c>
      <c r="L45" s="323"/>
      <c r="M45" s="324" t="s">
        <v>48</v>
      </c>
      <c r="N45" s="321" t="s">
        <v>50</v>
      </c>
      <c r="O45" s="325">
        <v>45444</v>
      </c>
      <c r="P45" s="321" t="s">
        <v>51</v>
      </c>
      <c r="Q45" s="326" t="s">
        <v>16</v>
      </c>
      <c r="R45" s="317" t="s">
        <v>39</v>
      </c>
      <c r="S45" s="327">
        <v>32590466.640000001</v>
      </c>
      <c r="T45" s="327">
        <v>44856716.640000001</v>
      </c>
      <c r="U45" s="328">
        <v>8218000</v>
      </c>
      <c r="V45" s="329"/>
      <c r="W45" s="329"/>
      <c r="X45" s="329"/>
      <c r="Y45" s="332" t="s">
        <v>4449</v>
      </c>
      <c r="Z45" s="332" t="s">
        <v>4745</v>
      </c>
      <c r="AA45" s="332" t="s">
        <v>4749</v>
      </c>
      <c r="AB45" s="330"/>
      <c r="AC45" s="330"/>
      <c r="AD45" s="331"/>
      <c r="AH45" s="540"/>
    </row>
    <row r="46" spans="1:34" s="160" customFormat="1" ht="87" customHeight="1" x14ac:dyDescent="0.25">
      <c r="A46" s="335"/>
      <c r="B46" s="315" t="s">
        <v>14</v>
      </c>
      <c r="C46" s="316" t="s">
        <v>31</v>
      </c>
      <c r="D46" s="315">
        <v>2723161150</v>
      </c>
      <c r="E46" s="317">
        <v>1000128349</v>
      </c>
      <c r="F46" s="318" t="s">
        <v>214</v>
      </c>
      <c r="G46" s="319">
        <v>9000412877</v>
      </c>
      <c r="H46" s="320">
        <v>45217</v>
      </c>
      <c r="I46" s="321" t="s">
        <v>93</v>
      </c>
      <c r="J46" s="321" t="s">
        <v>163</v>
      </c>
      <c r="K46" s="322">
        <v>0</v>
      </c>
      <c r="L46" s="323"/>
      <c r="M46" s="324" t="s">
        <v>169</v>
      </c>
      <c r="N46" s="321"/>
      <c r="O46" s="325"/>
      <c r="P46" s="321" t="s">
        <v>94</v>
      </c>
      <c r="Q46" s="326" t="s">
        <v>38</v>
      </c>
      <c r="R46" s="317" t="s">
        <v>39</v>
      </c>
      <c r="S46" s="336"/>
      <c r="T46" s="337"/>
      <c r="U46" s="328"/>
      <c r="V46" s="329"/>
      <c r="W46" s="329"/>
      <c r="X46" s="329"/>
      <c r="Y46" s="330"/>
      <c r="Z46" s="330"/>
      <c r="AA46" s="331"/>
      <c r="AB46" s="330"/>
      <c r="AC46" s="330"/>
      <c r="AD46" s="331"/>
    </row>
    <row r="47" spans="1:34" s="160" customFormat="1" ht="60" x14ac:dyDescent="0.25">
      <c r="A47" s="335"/>
      <c r="B47" s="315" t="s">
        <v>14</v>
      </c>
      <c r="C47" s="316" t="s">
        <v>31</v>
      </c>
      <c r="D47" s="315">
        <v>2723161150</v>
      </c>
      <c r="E47" s="317">
        <v>1000128349</v>
      </c>
      <c r="F47" s="318" t="s">
        <v>215</v>
      </c>
      <c r="G47" s="319">
        <v>9000422200</v>
      </c>
      <c r="H47" s="320">
        <v>45252</v>
      </c>
      <c r="I47" s="321" t="s">
        <v>110</v>
      </c>
      <c r="J47" s="321" t="s">
        <v>163</v>
      </c>
      <c r="K47" s="322">
        <v>0</v>
      </c>
      <c r="L47" s="323"/>
      <c r="M47" s="324" t="s">
        <v>11</v>
      </c>
      <c r="N47" s="321"/>
      <c r="O47" s="325"/>
      <c r="P47" s="321" t="s">
        <v>111</v>
      </c>
      <c r="Q47" s="326" t="s">
        <v>13</v>
      </c>
      <c r="R47" s="317" t="s">
        <v>39</v>
      </c>
      <c r="S47" s="336"/>
      <c r="T47" s="337"/>
      <c r="U47" s="328"/>
      <c r="V47" s="329"/>
      <c r="W47" s="329"/>
      <c r="X47" s="329"/>
      <c r="Y47" s="330"/>
      <c r="Z47" s="330"/>
      <c r="AA47" s="331"/>
      <c r="AB47" s="330"/>
      <c r="AC47" s="330"/>
      <c r="AD47" s="331"/>
    </row>
    <row r="48" spans="1:34" s="160" customFormat="1" ht="60" x14ac:dyDescent="0.25">
      <c r="A48" s="335"/>
      <c r="B48" s="315" t="s">
        <v>14</v>
      </c>
      <c r="C48" s="316" t="s">
        <v>31</v>
      </c>
      <c r="D48" s="315">
        <v>2723161150</v>
      </c>
      <c r="E48" s="317">
        <v>1000128349</v>
      </c>
      <c r="F48" s="318" t="s">
        <v>217</v>
      </c>
      <c r="G48" s="319">
        <v>9000443948</v>
      </c>
      <c r="H48" s="320">
        <v>45348</v>
      </c>
      <c r="I48" s="321" t="s">
        <v>123</v>
      </c>
      <c r="J48" s="321" t="s">
        <v>163</v>
      </c>
      <c r="K48" s="322">
        <v>0</v>
      </c>
      <c r="L48" s="323"/>
      <c r="M48" s="324" t="s">
        <v>11</v>
      </c>
      <c r="N48" s="325">
        <v>45444</v>
      </c>
      <c r="O48" s="325"/>
      <c r="P48" s="321" t="s">
        <v>124</v>
      </c>
      <c r="Q48" s="326" t="s">
        <v>77</v>
      </c>
      <c r="R48" s="317" t="s">
        <v>39</v>
      </c>
      <c r="S48" s="336"/>
      <c r="T48" s="337"/>
      <c r="U48" s="328"/>
      <c r="V48" s="329"/>
      <c r="W48" s="329"/>
      <c r="X48" s="329"/>
      <c r="Y48" s="330"/>
      <c r="Z48" s="330"/>
      <c r="AA48" s="331"/>
      <c r="AB48" s="330"/>
      <c r="AC48" s="330"/>
      <c r="AD48" s="331"/>
    </row>
    <row r="49" spans="1:41" s="160" customFormat="1" ht="60" x14ac:dyDescent="0.25">
      <c r="A49" s="335"/>
      <c r="B49" s="315" t="s">
        <v>14</v>
      </c>
      <c r="C49" s="316" t="s">
        <v>31</v>
      </c>
      <c r="D49" s="315">
        <v>2723161150</v>
      </c>
      <c r="E49" s="317">
        <v>1000128349</v>
      </c>
      <c r="F49" s="318" t="s">
        <v>216</v>
      </c>
      <c r="G49" s="319">
        <v>9000476160</v>
      </c>
      <c r="H49" s="320">
        <v>45497</v>
      </c>
      <c r="I49" s="321" t="s">
        <v>96</v>
      </c>
      <c r="J49" s="321" t="s">
        <v>163</v>
      </c>
      <c r="K49" s="322">
        <v>0</v>
      </c>
      <c r="L49" s="323"/>
      <c r="M49" s="324" t="s">
        <v>11</v>
      </c>
      <c r="N49" s="325">
        <v>45444</v>
      </c>
      <c r="O49" s="325">
        <v>45595</v>
      </c>
      <c r="P49" s="321" t="s">
        <v>205</v>
      </c>
      <c r="Q49" s="326" t="s">
        <v>168</v>
      </c>
      <c r="R49" s="317" t="s">
        <v>39</v>
      </c>
      <c r="S49" s="336"/>
      <c r="T49" s="337"/>
      <c r="U49" s="328"/>
      <c r="V49" s="329"/>
      <c r="W49" s="329"/>
      <c r="X49" s="329"/>
      <c r="Y49" s="330"/>
      <c r="Z49" s="330"/>
      <c r="AA49" s="331"/>
      <c r="AB49" s="330"/>
      <c r="AC49" s="330"/>
      <c r="AD49" s="331"/>
    </row>
    <row r="50" spans="1:41" s="160" customFormat="1" ht="60" x14ac:dyDescent="0.25">
      <c r="A50" s="335"/>
      <c r="B50" s="315" t="s">
        <v>14</v>
      </c>
      <c r="C50" s="316" t="s">
        <v>31</v>
      </c>
      <c r="D50" s="315">
        <v>2723161150</v>
      </c>
      <c r="E50" s="317">
        <v>1000128349</v>
      </c>
      <c r="F50" s="318" t="s">
        <v>626</v>
      </c>
      <c r="G50" s="319">
        <v>9000497553</v>
      </c>
      <c r="H50" s="320">
        <v>45788</v>
      </c>
      <c r="I50" s="321" t="s">
        <v>627</v>
      </c>
      <c r="J50" s="321" t="s">
        <v>163</v>
      </c>
      <c r="K50" s="322">
        <v>165925.04999999999</v>
      </c>
      <c r="L50" s="323"/>
      <c r="M50" s="324" t="s">
        <v>11</v>
      </c>
      <c r="N50" s="325">
        <v>45656</v>
      </c>
      <c r="O50" s="325">
        <v>45595</v>
      </c>
      <c r="P50" s="321" t="s">
        <v>205</v>
      </c>
      <c r="Q50" s="326" t="s">
        <v>168</v>
      </c>
      <c r="R50" s="317" t="s">
        <v>39</v>
      </c>
      <c r="S50" s="336"/>
      <c r="T50" s="337"/>
      <c r="U50" s="328"/>
      <c r="V50" s="329"/>
      <c r="W50" s="329"/>
      <c r="X50" s="329"/>
      <c r="Y50" s="330"/>
      <c r="Z50" s="330"/>
      <c r="AA50" s="331"/>
      <c r="AB50" s="330"/>
      <c r="AC50" s="330"/>
      <c r="AD50" s="331"/>
    </row>
    <row r="51" spans="1:41" s="190" customFormat="1" ht="15" x14ac:dyDescent="0.25">
      <c r="A51" s="398"/>
      <c r="B51" s="8"/>
      <c r="C51" s="8"/>
      <c r="D51" s="8"/>
      <c r="E51" s="8"/>
      <c r="F51" s="191"/>
      <c r="G51" s="8"/>
      <c r="H51" s="38"/>
      <c r="I51" s="15"/>
      <c r="J51" s="6"/>
      <c r="K51" s="65"/>
      <c r="L51" s="259">
        <v>60693058.93</v>
      </c>
      <c r="M51" s="259"/>
      <c r="N51" s="8"/>
      <c r="O51" s="8"/>
      <c r="P51" s="6"/>
      <c r="Q51" s="6"/>
      <c r="R51" s="6"/>
      <c r="S51" s="42">
        <f>L51-S45</f>
        <v>28102592.289999999</v>
      </c>
      <c r="T51" s="42"/>
      <c r="U51" s="42"/>
      <c r="V51" s="42"/>
      <c r="W51" s="42"/>
      <c r="X51" s="42"/>
      <c r="Y51" s="42"/>
      <c r="Z51" s="42"/>
      <c r="AA51" s="42"/>
      <c r="AB51" s="42"/>
      <c r="AC51" s="42"/>
      <c r="AD51" s="42"/>
    </row>
    <row r="52" spans="1:41" s="160" customFormat="1" ht="105" x14ac:dyDescent="0.25">
      <c r="A52" s="335">
        <v>1</v>
      </c>
      <c r="B52" s="315" t="s">
        <v>678</v>
      </c>
      <c r="C52" s="316" t="s">
        <v>679</v>
      </c>
      <c r="D52" s="315">
        <v>2466231889</v>
      </c>
      <c r="E52" s="317">
        <v>1000105625</v>
      </c>
      <c r="F52" s="318" t="s">
        <v>680</v>
      </c>
      <c r="G52" s="319">
        <v>8000747576</v>
      </c>
      <c r="H52" s="320">
        <v>45840</v>
      </c>
      <c r="I52" s="321" t="s">
        <v>681</v>
      </c>
      <c r="J52" s="321" t="s">
        <v>653</v>
      </c>
      <c r="K52" s="322">
        <v>50588578.310000002</v>
      </c>
      <c r="L52" s="323"/>
      <c r="M52" s="324" t="s">
        <v>682</v>
      </c>
      <c r="N52" s="325" t="s">
        <v>683</v>
      </c>
      <c r="O52" s="325"/>
      <c r="P52" s="321" t="s">
        <v>684</v>
      </c>
      <c r="Q52" s="326" t="s">
        <v>168</v>
      </c>
      <c r="R52" s="317" t="s">
        <v>39</v>
      </c>
      <c r="S52" s="336">
        <v>0</v>
      </c>
      <c r="T52" s="337">
        <v>9611829.8800000008</v>
      </c>
      <c r="U52" s="328">
        <v>9611829.8800000008</v>
      </c>
      <c r="V52" s="329"/>
      <c r="W52" s="329"/>
      <c r="X52" s="329"/>
      <c r="Y52" s="332" t="s">
        <v>4782</v>
      </c>
      <c r="Z52" s="331" t="s">
        <v>4766</v>
      </c>
      <c r="AA52" s="331"/>
      <c r="AB52" s="330" t="s">
        <v>4780</v>
      </c>
      <c r="AC52" s="330"/>
      <c r="AD52" s="331"/>
      <c r="AH52" s="540"/>
    </row>
    <row r="53" spans="1:41" s="190" customFormat="1" ht="15" x14ac:dyDescent="0.25">
      <c r="A53" s="398"/>
      <c r="B53" s="8"/>
      <c r="C53" s="8"/>
      <c r="D53" s="8"/>
      <c r="E53" s="8"/>
      <c r="F53" s="191"/>
      <c r="G53" s="8"/>
      <c r="H53" s="38"/>
      <c r="I53" s="15"/>
      <c r="J53" s="6"/>
      <c r="K53" s="65"/>
      <c r="L53" s="259">
        <f>K52+L52</f>
        <v>50588578.310000002</v>
      </c>
      <c r="M53" s="259"/>
      <c r="N53" s="8"/>
      <c r="O53" s="8"/>
      <c r="P53" s="6"/>
      <c r="Q53" s="6"/>
      <c r="R53" s="6"/>
      <c r="S53" s="42">
        <f>L53-S52</f>
        <v>50588578.310000002</v>
      </c>
      <c r="T53" s="42"/>
      <c r="U53" s="42"/>
      <c r="V53" s="42"/>
      <c r="W53" s="42"/>
      <c r="X53" s="42"/>
      <c r="Y53" s="42"/>
      <c r="Z53" s="42"/>
      <c r="AA53" s="42"/>
      <c r="AB53" s="42"/>
      <c r="AC53" s="42"/>
      <c r="AD53" s="42"/>
    </row>
    <row r="54" spans="1:41" s="160" customFormat="1" ht="150" x14ac:dyDescent="0.25">
      <c r="A54" s="335">
        <v>1</v>
      </c>
      <c r="B54" s="315" t="s">
        <v>1010</v>
      </c>
      <c r="C54" s="316" t="s">
        <v>1011</v>
      </c>
      <c r="D54" s="315">
        <v>7717719289</v>
      </c>
      <c r="E54" s="317">
        <v>1000164475</v>
      </c>
      <c r="F54" s="318" t="s">
        <v>1012</v>
      </c>
      <c r="G54" s="319">
        <v>8000759238</v>
      </c>
      <c r="H54" s="320" t="s">
        <v>1013</v>
      </c>
      <c r="I54" s="321" t="s">
        <v>1014</v>
      </c>
      <c r="J54" s="321" t="s">
        <v>748</v>
      </c>
      <c r="K54" s="322">
        <v>82788000</v>
      </c>
      <c r="L54" s="323"/>
      <c r="M54" s="324" t="s">
        <v>1015</v>
      </c>
      <c r="N54" s="325" t="s">
        <v>1016</v>
      </c>
      <c r="O54" s="325"/>
      <c r="P54" s="321" t="s">
        <v>1017</v>
      </c>
      <c r="Q54" s="326" t="s">
        <v>881</v>
      </c>
      <c r="R54" s="317" t="s">
        <v>54</v>
      </c>
      <c r="S54" s="336">
        <v>24836400</v>
      </c>
      <c r="T54" s="337">
        <v>24836400</v>
      </c>
      <c r="U54" s="328">
        <v>24836400</v>
      </c>
      <c r="V54" s="329"/>
      <c r="W54" s="329"/>
      <c r="X54" s="329"/>
      <c r="Y54" s="332" t="s">
        <v>4789</v>
      </c>
      <c r="Z54" s="331" t="s">
        <v>4766</v>
      </c>
      <c r="AA54" s="331"/>
      <c r="AB54" s="330" t="s">
        <v>4780</v>
      </c>
      <c r="AC54" s="330"/>
      <c r="AD54" s="331"/>
      <c r="AH54" s="540"/>
    </row>
    <row r="55" spans="1:41" s="2" customFormat="1" ht="60.75" customHeight="1" x14ac:dyDescent="0.25">
      <c r="A55" s="28"/>
      <c r="B55" s="98" t="s">
        <v>1010</v>
      </c>
      <c r="C55" s="98" t="s">
        <v>1011</v>
      </c>
      <c r="D55" s="98">
        <v>7717719289</v>
      </c>
      <c r="E55" s="98">
        <v>1000164475</v>
      </c>
      <c r="F55" s="420" t="s">
        <v>1470</v>
      </c>
      <c r="G55" s="98">
        <v>9000575153</v>
      </c>
      <c r="H55" s="99">
        <v>46000</v>
      </c>
      <c r="I55" s="100" t="s">
        <v>1471</v>
      </c>
      <c r="J55" s="100" t="s">
        <v>748</v>
      </c>
      <c r="K55" s="101">
        <v>33632723.549999997</v>
      </c>
      <c r="L55" s="101"/>
      <c r="M55" s="100"/>
      <c r="N55" s="100"/>
      <c r="O55" s="100"/>
      <c r="P55" s="98" t="s">
        <v>1472</v>
      </c>
      <c r="Q55" s="98" t="s">
        <v>881</v>
      </c>
      <c r="R55" s="98" t="s">
        <v>54</v>
      </c>
      <c r="S55" s="98"/>
      <c r="T55" s="100"/>
      <c r="U55" s="100"/>
      <c r="V55" s="50"/>
      <c r="W55" s="50"/>
      <c r="X55" s="50"/>
      <c r="Y55" s="50"/>
      <c r="Z55" s="50"/>
      <c r="AA55" s="28"/>
      <c r="AB55" s="50"/>
      <c r="AC55" s="50"/>
      <c r="AD55" s="28"/>
      <c r="AJ55" s="138"/>
      <c r="AK55" s="138"/>
      <c r="AL55" s="138"/>
      <c r="AM55" s="138"/>
      <c r="AN55" s="138"/>
      <c r="AO55" s="138"/>
    </row>
    <row r="56" spans="1:41" s="190" customFormat="1" ht="15" x14ac:dyDescent="0.25">
      <c r="A56" s="398"/>
      <c r="B56" s="8"/>
      <c r="C56" s="8"/>
      <c r="D56" s="8"/>
      <c r="E56" s="8"/>
      <c r="F56" s="191"/>
      <c r="G56" s="8"/>
      <c r="H56" s="38"/>
      <c r="I56" s="15"/>
      <c r="J56" s="6"/>
      <c r="K56" s="65"/>
      <c r="L56" s="259">
        <f>SUM(K54:K56)</f>
        <v>116420723.55</v>
      </c>
      <c r="M56" s="259"/>
      <c r="N56" s="8"/>
      <c r="O56" s="8"/>
      <c r="P56" s="6"/>
      <c r="Q56" s="6"/>
      <c r="R56" s="6"/>
      <c r="S56" s="42">
        <f>L56-S54</f>
        <v>91584323.549999997</v>
      </c>
      <c r="T56" s="42"/>
      <c r="U56" s="42">
        <f>T54-S54</f>
        <v>0</v>
      </c>
      <c r="V56" s="42"/>
      <c r="W56" s="42"/>
      <c r="X56" s="42"/>
      <c r="Y56" s="42"/>
      <c r="Z56" s="42"/>
      <c r="AA56" s="42"/>
      <c r="AB56" s="42"/>
      <c r="AC56" s="42"/>
      <c r="AD56" s="42"/>
      <c r="AJ56" s="227"/>
      <c r="AK56" s="227"/>
      <c r="AL56" s="227"/>
      <c r="AM56" s="227"/>
      <c r="AN56" s="227"/>
      <c r="AO56" s="227"/>
    </row>
    <row r="57" spans="1:41" s="160" customFormat="1" ht="159.75" customHeight="1" x14ac:dyDescent="0.25">
      <c r="A57" s="335">
        <v>1</v>
      </c>
      <c r="B57" s="315" t="s">
        <v>188</v>
      </c>
      <c r="C57" s="316" t="s">
        <v>189</v>
      </c>
      <c r="D57" s="315">
        <v>5505062400</v>
      </c>
      <c r="E57" s="317">
        <v>1000167975</v>
      </c>
      <c r="F57" s="318" t="s">
        <v>286</v>
      </c>
      <c r="G57" s="319">
        <v>8000668062</v>
      </c>
      <c r="H57" s="320">
        <v>45546</v>
      </c>
      <c r="I57" s="321" t="s">
        <v>287</v>
      </c>
      <c r="J57" s="321" t="s">
        <v>195</v>
      </c>
      <c r="K57" s="322">
        <v>53040000</v>
      </c>
      <c r="L57" s="323"/>
      <c r="M57" s="324" t="s">
        <v>11</v>
      </c>
      <c r="N57" s="321" t="s">
        <v>284</v>
      </c>
      <c r="O57" s="325"/>
      <c r="P57" s="321" t="s">
        <v>288</v>
      </c>
      <c r="Q57" s="326" t="s">
        <v>168</v>
      </c>
      <c r="R57" s="317" t="s">
        <v>55</v>
      </c>
      <c r="S57" s="254">
        <v>20165400</v>
      </c>
      <c r="T57" s="254">
        <v>20165400</v>
      </c>
      <c r="U57" s="337">
        <v>0</v>
      </c>
      <c r="V57" s="329"/>
      <c r="W57" s="329"/>
      <c r="X57" s="329"/>
      <c r="Y57" s="332" t="s">
        <v>4747</v>
      </c>
      <c r="Z57" s="331" t="s">
        <v>4766</v>
      </c>
      <c r="AA57" s="331" t="s">
        <v>4748</v>
      </c>
      <c r="AB57" s="332"/>
      <c r="AC57" s="330"/>
      <c r="AD57" s="356"/>
      <c r="AH57" s="540"/>
      <c r="AK57" s="487"/>
    </row>
    <row r="58" spans="1:41" s="160" customFormat="1" ht="42.75" customHeight="1" x14ac:dyDescent="0.25">
      <c r="A58" s="335"/>
      <c r="B58" s="315" t="s">
        <v>188</v>
      </c>
      <c r="C58" s="316" t="s">
        <v>189</v>
      </c>
      <c r="D58" s="315">
        <v>5505062400</v>
      </c>
      <c r="E58" s="317">
        <v>1000167975</v>
      </c>
      <c r="F58" s="318" t="s">
        <v>372</v>
      </c>
      <c r="G58" s="319">
        <v>9000501619</v>
      </c>
      <c r="H58" s="320">
        <v>45618</v>
      </c>
      <c r="I58" s="321" t="s">
        <v>373</v>
      </c>
      <c r="J58" s="321" t="s">
        <v>195</v>
      </c>
      <c r="K58" s="322">
        <v>0</v>
      </c>
      <c r="L58" s="323"/>
      <c r="M58" s="324" t="s">
        <v>11</v>
      </c>
      <c r="N58" s="321" t="s">
        <v>374</v>
      </c>
      <c r="O58" s="325"/>
      <c r="P58" s="321" t="s">
        <v>375</v>
      </c>
      <c r="Q58" s="326" t="s">
        <v>168</v>
      </c>
      <c r="R58" s="317" t="s">
        <v>55</v>
      </c>
      <c r="S58" s="336"/>
      <c r="T58" s="337"/>
      <c r="U58" s="328"/>
      <c r="V58" s="329"/>
      <c r="W58" s="329"/>
      <c r="X58" s="329"/>
      <c r="Y58" s="330"/>
      <c r="Z58" s="330"/>
      <c r="AA58" s="331"/>
      <c r="AB58" s="330"/>
      <c r="AC58" s="330"/>
      <c r="AD58" s="331"/>
      <c r="AK58" s="487"/>
    </row>
    <row r="59" spans="1:41" ht="17.25" customHeight="1" x14ac:dyDescent="0.25">
      <c r="B59" s="8"/>
      <c r="C59" s="9"/>
      <c r="D59" s="9"/>
      <c r="E59" s="8"/>
      <c r="F59" s="8"/>
      <c r="G59" s="36"/>
      <c r="H59" s="22"/>
      <c r="I59" s="9"/>
      <c r="J59" s="13"/>
      <c r="K59" s="13"/>
      <c r="L59" s="41">
        <f>SUM(K57:K59)</f>
        <v>53040000</v>
      </c>
      <c r="M59" s="41"/>
      <c r="N59" s="15"/>
      <c r="O59" s="13"/>
      <c r="P59" s="15"/>
      <c r="Q59" s="9"/>
      <c r="R59" s="9"/>
      <c r="S59" s="198">
        <f>L59-S57</f>
        <v>32874600</v>
      </c>
      <c r="T59" s="8" t="s">
        <v>37</v>
      </c>
      <c r="U59" s="15" t="s">
        <v>37</v>
      </c>
      <c r="V59" s="15"/>
      <c r="W59" s="33"/>
      <c r="X59" s="33"/>
      <c r="Y59" s="33"/>
      <c r="Z59" s="33"/>
      <c r="AA59" s="33"/>
      <c r="AB59" s="33"/>
      <c r="AC59" s="33"/>
      <c r="AD59" s="33"/>
      <c r="AK59" s="173"/>
      <c r="AN59" s="173"/>
    </row>
    <row r="60" spans="1:41" ht="195" x14ac:dyDescent="0.25">
      <c r="A60" s="342">
        <v>1</v>
      </c>
      <c r="B60" s="338" t="s">
        <v>858</v>
      </c>
      <c r="C60" s="317" t="s">
        <v>859</v>
      </c>
      <c r="D60" s="338">
        <v>3458002125</v>
      </c>
      <c r="E60" s="338">
        <v>1000179111</v>
      </c>
      <c r="F60" s="351" t="s">
        <v>860</v>
      </c>
      <c r="G60" s="340">
        <v>8000755060</v>
      </c>
      <c r="H60" s="338" t="s">
        <v>861</v>
      </c>
      <c r="I60" s="341" t="s">
        <v>862</v>
      </c>
      <c r="J60" s="341" t="s">
        <v>653</v>
      </c>
      <c r="K60" s="254">
        <v>114561388.8</v>
      </c>
      <c r="L60" s="254"/>
      <c r="M60" s="355" t="s">
        <v>11</v>
      </c>
      <c r="N60" s="341" t="s">
        <v>863</v>
      </c>
      <c r="O60" s="341"/>
      <c r="P60" s="317" t="s">
        <v>864</v>
      </c>
      <c r="Q60" s="317" t="s">
        <v>816</v>
      </c>
      <c r="R60" s="338" t="s">
        <v>54</v>
      </c>
      <c r="S60" s="254">
        <v>187925373.02000001</v>
      </c>
      <c r="T60" s="254">
        <v>187925373.02000001</v>
      </c>
      <c r="U60" s="337">
        <v>3000000</v>
      </c>
      <c r="V60" s="330"/>
      <c r="W60" s="330"/>
      <c r="X60" s="330"/>
      <c r="Y60" s="332" t="s">
        <v>1606</v>
      </c>
      <c r="Z60" s="331" t="s">
        <v>4766</v>
      </c>
      <c r="AA60" s="331" t="s">
        <v>4778</v>
      </c>
      <c r="AB60" s="331" t="s">
        <v>4781</v>
      </c>
      <c r="AC60" s="330"/>
      <c r="AD60" s="332"/>
      <c r="AH60" s="531"/>
      <c r="AK60" s="487"/>
    </row>
    <row r="61" spans="1:41" ht="60" x14ac:dyDescent="0.25">
      <c r="A61" s="342"/>
      <c r="B61" s="338"/>
      <c r="C61" s="317" t="s">
        <v>859</v>
      </c>
      <c r="D61" s="338">
        <v>3458002125</v>
      </c>
      <c r="E61" s="338">
        <v>1000179111</v>
      </c>
      <c r="F61" s="351" t="s">
        <v>865</v>
      </c>
      <c r="G61" s="340">
        <v>9000561396</v>
      </c>
      <c r="H61" s="352">
        <v>46066</v>
      </c>
      <c r="I61" s="341" t="s">
        <v>4783</v>
      </c>
      <c r="J61" s="341" t="s">
        <v>653</v>
      </c>
      <c r="K61" s="254">
        <v>126326252.3</v>
      </c>
      <c r="L61" s="254"/>
      <c r="M61" s="341" t="s">
        <v>866</v>
      </c>
      <c r="N61" s="341" t="s">
        <v>1431</v>
      </c>
      <c r="O61" s="341"/>
      <c r="P61" s="317" t="s">
        <v>867</v>
      </c>
      <c r="Q61" s="317" t="s">
        <v>816</v>
      </c>
      <c r="R61" s="338" t="s">
        <v>54</v>
      </c>
      <c r="S61" s="338"/>
      <c r="T61" s="341"/>
      <c r="U61" s="341"/>
      <c r="V61" s="330"/>
      <c r="W61" s="330"/>
      <c r="X61" s="330"/>
      <c r="Y61" s="330"/>
      <c r="Z61" s="330"/>
      <c r="AA61" s="332"/>
      <c r="AB61" s="330"/>
      <c r="AC61" s="330"/>
      <c r="AD61" s="332"/>
      <c r="AK61" s="487"/>
    </row>
    <row r="62" spans="1:41" x14ac:dyDescent="0.25">
      <c r="A62" s="159"/>
      <c r="B62" s="4"/>
      <c r="C62" s="4"/>
      <c r="D62" s="4"/>
      <c r="E62" s="4"/>
      <c r="F62" s="37"/>
      <c r="G62" s="30"/>
      <c r="H62" s="4"/>
      <c r="I62" s="15"/>
      <c r="J62" s="15"/>
      <c r="K62" s="55"/>
      <c r="L62" s="55">
        <f>SUM(K60:K62)</f>
        <v>240887641.09999999</v>
      </c>
      <c r="M62" s="17"/>
      <c r="N62" s="15"/>
      <c r="O62" s="15"/>
      <c r="P62" s="8"/>
      <c r="Q62" s="4"/>
      <c r="R62" s="4"/>
      <c r="S62" s="189">
        <f>L62-S60</f>
        <v>52962268.079999983</v>
      </c>
      <c r="T62" s="15"/>
      <c r="U62" s="15"/>
      <c r="V62" s="33"/>
      <c r="W62" s="33"/>
      <c r="X62" s="33"/>
      <c r="Y62" s="33"/>
      <c r="Z62" s="33"/>
      <c r="AA62" s="52"/>
      <c r="AB62" s="33"/>
      <c r="AC62" s="33"/>
      <c r="AD62" s="52"/>
      <c r="AK62" s="173"/>
      <c r="AN62" s="173"/>
    </row>
    <row r="63" spans="1:41" x14ac:dyDescent="0.25">
      <c r="A63" s="138">
        <f>SUM(A3:A62)</f>
        <v>19</v>
      </c>
    </row>
    <row r="64" spans="1:41" x14ac:dyDescent="0.25">
      <c r="AD64" s="539" t="s">
        <v>4792</v>
      </c>
      <c r="AE64" s="138">
        <v>5</v>
      </c>
    </row>
    <row r="65" spans="30:31" x14ac:dyDescent="0.25">
      <c r="AD65" s="535" t="s">
        <v>4793</v>
      </c>
      <c r="AE65" s="138">
        <v>6</v>
      </c>
    </row>
    <row r="66" spans="30:31" x14ac:dyDescent="0.25">
      <c r="AD66" s="538" t="s">
        <v>4794</v>
      </c>
      <c r="AE66" s="138">
        <v>6</v>
      </c>
    </row>
    <row r="67" spans="30:31" x14ac:dyDescent="0.25">
      <c r="AD67" s="532" t="s">
        <v>4791</v>
      </c>
      <c r="AE67" s="138">
        <v>2</v>
      </c>
    </row>
  </sheetData>
  <autoFilter ref="B2:AD44"/>
  <mergeCells count="27">
    <mergeCell ref="R1:R2"/>
    <mergeCell ref="M1:M2"/>
    <mergeCell ref="N1:N2"/>
    <mergeCell ref="O1:O2"/>
    <mergeCell ref="P1:P2"/>
    <mergeCell ref="Q1:Q2"/>
    <mergeCell ref="AA1:AA2"/>
    <mergeCell ref="AB1:AB2"/>
    <mergeCell ref="AC1:AC2"/>
    <mergeCell ref="AD1:AD2"/>
    <mergeCell ref="S1:S2"/>
    <mergeCell ref="T1:T2"/>
    <mergeCell ref="U1:U2"/>
    <mergeCell ref="V1:X1"/>
    <mergeCell ref="Y1:Y2"/>
    <mergeCell ref="Z1:Z2"/>
    <mergeCell ref="G1:G2"/>
    <mergeCell ref="B1:B2"/>
    <mergeCell ref="C1:C2"/>
    <mergeCell ref="D1:D2"/>
    <mergeCell ref="E1:E2"/>
    <mergeCell ref="F1:F2"/>
    <mergeCell ref="H1:H2"/>
    <mergeCell ref="I1:I2"/>
    <mergeCell ref="J1:J2"/>
    <mergeCell ref="K1:K2"/>
    <mergeCell ref="L1:L2"/>
  </mergeCells>
  <hyperlinks>
    <hyperlink ref="F3" r:id="rId1"/>
    <hyperlink ref="F6" r:id="rId2"/>
    <hyperlink ref="F12" r:id="rId3"/>
    <hyperlink ref="F16" r:id="rId4"/>
    <hyperlink ref="F18" r:id="rId5"/>
    <hyperlink ref="F14" r:id="rId6"/>
    <hyperlink ref="F20" r:id="rId7"/>
    <hyperlink ref="F21" r:id="rId8"/>
    <hyperlink ref="F25" r:id="rId9"/>
    <hyperlink ref="F27" r:id="rId10" display="СИБЭРСИБЭМ-25/1402."/>
    <hyperlink ref="F28" r:id="rId11"/>
    <hyperlink ref="F29" r:id="rId12"/>
    <hyperlink ref="F31" r:id="rId13"/>
    <hyperlink ref="F32" r:id="rId14"/>
    <hyperlink ref="F34" r:id="rId15"/>
    <hyperlink ref="F35" r:id="rId16" display="ДС №1 "/>
    <hyperlink ref="F36" r:id="rId17" display="ДС №2"/>
    <hyperlink ref="F38" r:id="rId18"/>
    <hyperlink ref="F39" r:id="rId19"/>
    <hyperlink ref="F41" r:id="rId20"/>
    <hyperlink ref="F45" r:id="rId21"/>
    <hyperlink ref="F46" r:id="rId22" display="ДС № 1"/>
    <hyperlink ref="F47" r:id="rId23" display="ДС № 1"/>
    <hyperlink ref="F52" r:id="rId24"/>
    <hyperlink ref="F54" r:id="rId25"/>
    <hyperlink ref="F55" r:id="rId26"/>
    <hyperlink ref="F61" r:id="rId27"/>
    <hyperlink ref="F60" r:id="rId28"/>
    <hyperlink ref="F57" r:id="rId29"/>
    <hyperlink ref="F58" r:id="rId30"/>
  </hyperlinks>
  <pageMargins left="0.7" right="0.7" top="0.75" bottom="0.75" header="0.3" footer="0.3"/>
  <pageSetup paperSize="9" orientation="portrait" r:id="rId31"/>
  <legacyDrawing r:id="rId3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8"/>
  <sheetViews>
    <sheetView topLeftCell="R1" zoomScale="85" zoomScaleNormal="85" workbookViewId="0">
      <pane ySplit="2" topLeftCell="A3" activePane="bottomLeft" state="frozen"/>
      <selection activeCell="Z1" sqref="Z1"/>
      <selection pane="bottomLeft" activeCell="A3" sqref="A3:A16"/>
    </sheetView>
  </sheetViews>
  <sheetFormatPr defaultColWidth="8.85546875" defaultRowHeight="15.75" x14ac:dyDescent="0.25"/>
  <cols>
    <col min="1" max="1" width="6" style="138" customWidth="1"/>
    <col min="2" max="2" width="20.85546875" style="171" customWidth="1"/>
    <col min="3" max="3" width="20.28515625" style="171" customWidth="1"/>
    <col min="4" max="4" width="18.85546875" style="171" customWidth="1"/>
    <col min="5" max="5" width="17.5703125" style="171" customWidth="1"/>
    <col min="6" max="6" width="23" style="172" customWidth="1"/>
    <col min="7" max="7" width="16" style="171" customWidth="1"/>
    <col min="8" max="8" width="19.28515625" style="171" customWidth="1"/>
    <col min="9" max="9" width="32.85546875" style="173" customWidth="1"/>
    <col min="10" max="10" width="21.85546875" style="173" hidden="1" customWidth="1"/>
    <col min="11" max="11" width="21.28515625" style="174" customWidth="1"/>
    <col min="12" max="12" width="21.140625" style="174" customWidth="1"/>
    <col min="13" max="13" width="37.5703125" style="175" customWidth="1"/>
    <col min="14" max="14" width="34.7109375" style="173" customWidth="1"/>
    <col min="15" max="15" width="18.42578125" style="173" customWidth="1"/>
    <col min="16" max="16" width="29.5703125" style="176" hidden="1" customWidth="1"/>
    <col min="17" max="17" width="18" style="171" hidden="1" customWidth="1"/>
    <col min="18" max="18" width="16.140625" style="171" customWidth="1"/>
    <col min="19" max="19" width="21.85546875" style="171" customWidth="1"/>
    <col min="20" max="20" width="20.85546875" style="173" customWidth="1"/>
    <col min="21" max="21" width="20.140625" style="173" customWidth="1"/>
    <col min="22" max="22" width="23.7109375" style="168" customWidth="1"/>
    <col min="23" max="23" width="18.85546875" style="168" customWidth="1"/>
    <col min="24" max="24" width="30" style="168" customWidth="1"/>
    <col min="25" max="25" width="26.140625" style="169" customWidth="1"/>
    <col min="26" max="26" width="32.140625" style="169" customWidth="1"/>
    <col min="27" max="27" width="35.140625" style="170" customWidth="1"/>
    <col min="28" max="28" width="36.42578125" style="138" hidden="1" customWidth="1"/>
    <col min="29" max="29" width="23.28515625" style="170" hidden="1" customWidth="1"/>
    <col min="30" max="30" width="27.85546875" style="170" hidden="1" customWidth="1"/>
    <col min="31" max="31" width="30.5703125" style="170" hidden="1" customWidth="1"/>
    <col min="32" max="32" width="32" style="170" customWidth="1"/>
    <col min="33" max="33" width="18.28515625" style="170" customWidth="1"/>
    <col min="34" max="34" width="31.85546875" style="170" customWidth="1"/>
    <col min="35" max="35" width="13.140625" style="170" customWidth="1"/>
    <col min="36" max="38" width="16" style="170" customWidth="1"/>
    <col min="39" max="39" width="14.42578125" style="138" customWidth="1"/>
    <col min="40" max="42" width="8.85546875" style="138" customWidth="1"/>
    <col min="43" max="16384" width="8.85546875" style="138"/>
  </cols>
  <sheetData>
    <row r="1" spans="1:41" ht="15" customHeight="1" x14ac:dyDescent="0.25">
      <c r="A1" s="508"/>
      <c r="B1" s="508" t="s">
        <v>0</v>
      </c>
      <c r="C1" s="500" t="s">
        <v>1</v>
      </c>
      <c r="D1" s="500" t="s">
        <v>8</v>
      </c>
      <c r="E1" s="500" t="s">
        <v>156</v>
      </c>
      <c r="F1" s="500" t="s">
        <v>2</v>
      </c>
      <c r="G1" s="500" t="s">
        <v>10</v>
      </c>
      <c r="H1" s="498" t="s">
        <v>157</v>
      </c>
      <c r="I1" s="500" t="s">
        <v>5</v>
      </c>
      <c r="J1" s="496" t="s">
        <v>7</v>
      </c>
      <c r="K1" s="502" t="s">
        <v>3</v>
      </c>
      <c r="L1" s="502" t="s">
        <v>158</v>
      </c>
      <c r="M1" s="504" t="s">
        <v>154</v>
      </c>
      <c r="N1" s="500" t="s">
        <v>160</v>
      </c>
      <c r="O1" s="500" t="s">
        <v>166</v>
      </c>
      <c r="P1" s="500" t="s">
        <v>159</v>
      </c>
      <c r="Q1" s="500" t="s">
        <v>6</v>
      </c>
      <c r="R1" s="496" t="s">
        <v>4</v>
      </c>
      <c r="S1" s="496" t="s">
        <v>155</v>
      </c>
      <c r="T1" s="491" t="s">
        <v>146</v>
      </c>
      <c r="U1" s="491" t="s">
        <v>147</v>
      </c>
      <c r="V1" s="492" t="s">
        <v>148</v>
      </c>
      <c r="W1" s="492"/>
      <c r="X1" s="493"/>
      <c r="Y1" s="494" t="s">
        <v>152</v>
      </c>
      <c r="Z1" s="494" t="s">
        <v>153</v>
      </c>
      <c r="AA1" s="495" t="s">
        <v>161</v>
      </c>
      <c r="AB1" s="488" t="s">
        <v>9</v>
      </c>
      <c r="AC1" s="86"/>
      <c r="AD1" s="523" t="s">
        <v>578</v>
      </c>
      <c r="AE1" s="524"/>
      <c r="AF1" s="524"/>
      <c r="AG1" s="524"/>
      <c r="AH1" s="524"/>
      <c r="AI1" s="524"/>
      <c r="AJ1" s="524"/>
      <c r="AK1" s="524"/>
      <c r="AL1" s="524"/>
      <c r="AM1" s="525"/>
      <c r="AN1" s="525"/>
    </row>
    <row r="2" spans="1:41" ht="48.6" customHeight="1" thickBot="1" x14ac:dyDescent="0.3">
      <c r="A2" s="509"/>
      <c r="B2" s="509"/>
      <c r="C2" s="510"/>
      <c r="D2" s="510"/>
      <c r="E2" s="501"/>
      <c r="F2" s="501"/>
      <c r="G2" s="501"/>
      <c r="H2" s="499"/>
      <c r="I2" s="501"/>
      <c r="J2" s="497"/>
      <c r="K2" s="503"/>
      <c r="L2" s="503"/>
      <c r="M2" s="505"/>
      <c r="N2" s="501"/>
      <c r="O2" s="501"/>
      <c r="P2" s="501"/>
      <c r="Q2" s="501"/>
      <c r="R2" s="497"/>
      <c r="S2" s="497"/>
      <c r="T2" s="491"/>
      <c r="U2" s="491"/>
      <c r="V2" s="85" t="s">
        <v>149</v>
      </c>
      <c r="W2" s="85" t="s">
        <v>150</v>
      </c>
      <c r="X2" s="87" t="s">
        <v>151</v>
      </c>
      <c r="Y2" s="494"/>
      <c r="Z2" s="494"/>
      <c r="AA2" s="495"/>
      <c r="AB2" s="488"/>
      <c r="AC2" s="67" t="s">
        <v>579</v>
      </c>
      <c r="AD2" s="67" t="s">
        <v>580</v>
      </c>
      <c r="AE2" s="68" t="s">
        <v>581</v>
      </c>
      <c r="AF2" s="68" t="s">
        <v>582</v>
      </c>
      <c r="AG2" s="68" t="s">
        <v>583</v>
      </c>
      <c r="AH2" s="68" t="s">
        <v>584</v>
      </c>
      <c r="AI2" s="181" t="s">
        <v>673</v>
      </c>
      <c r="AJ2" s="182" t="s">
        <v>674</v>
      </c>
      <c r="AK2" s="182" t="s">
        <v>675</v>
      </c>
      <c r="AL2" s="182" t="s">
        <v>676</v>
      </c>
      <c r="AM2" s="182" t="s">
        <v>677</v>
      </c>
      <c r="AN2" s="177"/>
    </row>
    <row r="3" spans="1:41" ht="105" x14ac:dyDescent="0.25">
      <c r="A3" s="138">
        <v>1</v>
      </c>
      <c r="B3" s="118" t="s">
        <v>63</v>
      </c>
      <c r="C3" s="118" t="s">
        <v>137</v>
      </c>
      <c r="D3" s="118">
        <v>7726685798</v>
      </c>
      <c r="E3" s="118">
        <v>1000100506</v>
      </c>
      <c r="F3" s="131" t="s">
        <v>138</v>
      </c>
      <c r="G3" s="126">
        <v>8000642719</v>
      </c>
      <c r="H3" s="119">
        <v>45448</v>
      </c>
      <c r="I3" s="120" t="s">
        <v>140</v>
      </c>
      <c r="J3" s="120" t="s">
        <v>546</v>
      </c>
      <c r="K3" s="121">
        <v>115871799.76000001</v>
      </c>
      <c r="L3" s="121"/>
      <c r="M3" s="120" t="s">
        <v>139</v>
      </c>
      <c r="N3" s="120" t="s">
        <v>141</v>
      </c>
      <c r="O3" s="120"/>
      <c r="P3" s="118" t="s">
        <v>142</v>
      </c>
      <c r="Q3" s="118" t="s">
        <v>77</v>
      </c>
      <c r="R3" s="118" t="s">
        <v>104</v>
      </c>
      <c r="S3" s="121">
        <v>0</v>
      </c>
      <c r="T3" s="121">
        <v>0</v>
      </c>
      <c r="U3" s="121">
        <v>0</v>
      </c>
      <c r="V3" s="125"/>
      <c r="W3" s="125"/>
      <c r="X3" s="125"/>
      <c r="Y3" s="125"/>
      <c r="Z3" s="125"/>
      <c r="AA3" s="124" t="s">
        <v>209</v>
      </c>
      <c r="AB3" s="128"/>
      <c r="AC3" s="128"/>
      <c r="AD3" s="128"/>
      <c r="AE3" s="128"/>
      <c r="AF3" s="124" t="s">
        <v>621</v>
      </c>
      <c r="AG3" s="123"/>
      <c r="AH3" s="122" t="s">
        <v>616</v>
      </c>
      <c r="AI3" s="129">
        <v>1</v>
      </c>
      <c r="AJ3" s="128"/>
      <c r="AK3" s="128"/>
      <c r="AL3" s="128"/>
      <c r="AM3" s="128"/>
    </row>
    <row r="4" spans="1:41" ht="75" x14ac:dyDescent="0.25">
      <c r="B4" s="118" t="s">
        <v>63</v>
      </c>
      <c r="C4" s="118" t="s">
        <v>137</v>
      </c>
      <c r="D4" s="118">
        <v>7726685798</v>
      </c>
      <c r="E4" s="118">
        <v>1000100506</v>
      </c>
      <c r="F4" s="130" t="s">
        <v>545</v>
      </c>
      <c r="G4" s="133">
        <v>9000544138</v>
      </c>
      <c r="H4" s="135">
        <v>45793</v>
      </c>
      <c r="I4" s="120" t="s">
        <v>68</v>
      </c>
      <c r="J4" s="120" t="s">
        <v>546</v>
      </c>
      <c r="K4" s="134"/>
      <c r="L4" s="134"/>
      <c r="M4" s="136"/>
      <c r="N4" s="120"/>
      <c r="O4" s="120"/>
      <c r="P4" s="118" t="s">
        <v>349</v>
      </c>
      <c r="Q4" s="127" t="s">
        <v>168</v>
      </c>
      <c r="R4" s="118" t="s">
        <v>547</v>
      </c>
      <c r="S4" s="127"/>
      <c r="T4" s="120"/>
      <c r="U4" s="120"/>
      <c r="V4" s="125"/>
      <c r="W4" s="125"/>
      <c r="X4" s="125"/>
      <c r="Y4" s="125"/>
      <c r="Z4" s="125"/>
      <c r="AA4" s="122"/>
      <c r="AB4" s="128" t="s">
        <v>262</v>
      </c>
      <c r="AC4" s="128"/>
      <c r="AD4" s="128"/>
      <c r="AE4" s="128"/>
      <c r="AF4" s="128"/>
      <c r="AG4" s="128"/>
      <c r="AH4" s="128"/>
      <c r="AI4" s="129"/>
      <c r="AJ4" s="128"/>
      <c r="AK4" s="128"/>
      <c r="AL4" s="128"/>
      <c r="AM4" s="128"/>
    </row>
    <row r="5" spans="1:41" x14ac:dyDescent="0.25">
      <c r="B5" s="8"/>
      <c r="C5" s="8"/>
      <c r="D5" s="8"/>
      <c r="E5" s="8"/>
      <c r="F5" s="37"/>
      <c r="G5" s="22"/>
      <c r="H5" s="8"/>
      <c r="I5" s="15"/>
      <c r="J5" s="15"/>
      <c r="K5" s="42"/>
      <c r="L5" s="42">
        <v>115871799.76000001</v>
      </c>
      <c r="M5" s="15"/>
      <c r="N5" s="15"/>
      <c r="O5" s="15"/>
      <c r="P5" s="8"/>
      <c r="Q5" s="8"/>
      <c r="R5" s="8"/>
      <c r="S5" s="8" t="s">
        <v>37</v>
      </c>
      <c r="T5" s="15" t="s">
        <v>37</v>
      </c>
      <c r="U5" s="15" t="s">
        <v>37</v>
      </c>
      <c r="V5" s="33"/>
      <c r="W5" s="33"/>
      <c r="X5" s="33"/>
      <c r="Y5" s="33"/>
      <c r="Z5" s="33"/>
      <c r="AA5" s="52"/>
      <c r="AB5" s="27"/>
      <c r="AC5" s="52"/>
      <c r="AD5" s="52"/>
      <c r="AE5" s="52"/>
      <c r="AF5" s="52"/>
      <c r="AG5" s="52"/>
      <c r="AH5" s="52"/>
      <c r="AI5" s="2"/>
      <c r="AJ5" s="26"/>
      <c r="AK5" s="26"/>
      <c r="AL5" s="26"/>
      <c r="AM5" s="26"/>
    </row>
    <row r="6" spans="1:41" ht="105" x14ac:dyDescent="0.25">
      <c r="A6" s="138">
        <v>1</v>
      </c>
      <c r="B6" s="118" t="s">
        <v>196</v>
      </c>
      <c r="C6" s="118" t="s">
        <v>296</v>
      </c>
      <c r="D6" s="118">
        <v>7726685798</v>
      </c>
      <c r="E6" s="118">
        <v>1000100506</v>
      </c>
      <c r="F6" s="124" t="s">
        <v>292</v>
      </c>
      <c r="G6" s="126">
        <v>8000675487</v>
      </c>
      <c r="H6" s="119">
        <v>45568</v>
      </c>
      <c r="I6" s="120" t="s">
        <v>293</v>
      </c>
      <c r="J6" s="120" t="s">
        <v>294</v>
      </c>
      <c r="K6" s="121">
        <v>21200583.449999999</v>
      </c>
      <c r="L6" s="121"/>
      <c r="M6" s="120" t="s">
        <v>11</v>
      </c>
      <c r="N6" s="120" t="s">
        <v>291</v>
      </c>
      <c r="O6" s="120"/>
      <c r="P6" s="118" t="s">
        <v>295</v>
      </c>
      <c r="Q6" s="118" t="s">
        <v>168</v>
      </c>
      <c r="R6" s="118" t="s">
        <v>508</v>
      </c>
      <c r="S6" s="121">
        <v>0</v>
      </c>
      <c r="T6" s="121">
        <v>0</v>
      </c>
      <c r="U6" s="121">
        <v>0</v>
      </c>
      <c r="V6" s="125"/>
      <c r="W6" s="125"/>
      <c r="X6" s="125"/>
      <c r="Y6" s="125"/>
      <c r="Z6" s="125"/>
      <c r="AA6" s="122" t="s">
        <v>334</v>
      </c>
      <c r="AB6" s="128"/>
      <c r="AC6" s="128"/>
      <c r="AD6" s="128"/>
      <c r="AE6" s="137"/>
      <c r="AF6" s="124" t="s">
        <v>599</v>
      </c>
      <c r="AG6" s="123"/>
      <c r="AH6" s="122" t="s">
        <v>616</v>
      </c>
      <c r="AI6" s="129">
        <v>1</v>
      </c>
      <c r="AJ6" s="128"/>
      <c r="AK6" s="128"/>
      <c r="AL6" s="128"/>
      <c r="AM6" s="128"/>
    </row>
    <row r="7" spans="1:41" ht="75" x14ac:dyDescent="0.25">
      <c r="B7" s="118" t="s">
        <v>196</v>
      </c>
      <c r="C7" s="118" t="s">
        <v>296</v>
      </c>
      <c r="D7" s="118">
        <v>7726685798</v>
      </c>
      <c r="E7" s="118">
        <v>1000100506</v>
      </c>
      <c r="F7" s="130" t="s">
        <v>542</v>
      </c>
      <c r="G7" s="133">
        <v>9000544131</v>
      </c>
      <c r="H7" s="135">
        <v>45793</v>
      </c>
      <c r="I7" s="120" t="s">
        <v>543</v>
      </c>
      <c r="J7" s="120" t="s">
        <v>294</v>
      </c>
      <c r="K7" s="134"/>
      <c r="L7" s="134"/>
      <c r="M7" s="136"/>
      <c r="N7" s="120"/>
      <c r="O7" s="120"/>
      <c r="P7" s="118" t="s">
        <v>349</v>
      </c>
      <c r="Q7" s="118" t="s">
        <v>168</v>
      </c>
      <c r="R7" s="118" t="s">
        <v>544</v>
      </c>
      <c r="S7" s="127"/>
      <c r="T7" s="120"/>
      <c r="U7" s="120"/>
      <c r="V7" s="125"/>
      <c r="W7" s="125"/>
      <c r="X7" s="125"/>
      <c r="Y7" s="125"/>
      <c r="Z7" s="125"/>
      <c r="AA7" s="122"/>
      <c r="AB7" s="132" t="s">
        <v>262</v>
      </c>
      <c r="AC7" s="128"/>
      <c r="AD7" s="124" t="s">
        <v>600</v>
      </c>
      <c r="AE7" s="122"/>
      <c r="AF7" s="123"/>
      <c r="AG7" s="128"/>
      <c r="AH7" s="128"/>
      <c r="AI7" s="129"/>
      <c r="AJ7" s="128"/>
      <c r="AK7" s="128"/>
      <c r="AL7" s="128"/>
      <c r="AM7" s="128"/>
    </row>
    <row r="8" spans="1:41" x14ac:dyDescent="0.25">
      <c r="B8" s="8"/>
      <c r="C8" s="8"/>
      <c r="D8" s="8"/>
      <c r="E8" s="8"/>
      <c r="F8" s="37"/>
      <c r="G8" s="22"/>
      <c r="H8" s="8"/>
      <c r="I8" s="15"/>
      <c r="J8" s="15"/>
      <c r="K8" s="42"/>
      <c r="L8" s="42">
        <f>K6+L6</f>
        <v>21200583.449999999</v>
      </c>
      <c r="M8" s="15"/>
      <c r="N8" s="15"/>
      <c r="O8" s="15"/>
      <c r="P8" s="8"/>
      <c r="Q8" s="8"/>
      <c r="R8" s="8"/>
      <c r="S8" s="8" t="s">
        <v>37</v>
      </c>
      <c r="T8" s="15" t="s">
        <v>37</v>
      </c>
      <c r="U8" s="15" t="s">
        <v>37</v>
      </c>
      <c r="V8" s="33"/>
      <c r="W8" s="33"/>
      <c r="X8" s="33"/>
      <c r="Y8" s="33"/>
      <c r="Z8" s="33"/>
      <c r="AA8" s="52"/>
      <c r="AB8" s="27"/>
      <c r="AC8" s="27"/>
      <c r="AD8" s="27"/>
      <c r="AE8" s="27"/>
      <c r="AF8" s="27"/>
      <c r="AG8" s="27"/>
      <c r="AH8" s="27"/>
      <c r="AI8" s="23"/>
      <c r="AJ8" s="27"/>
      <c r="AK8" s="27"/>
      <c r="AL8" s="27"/>
      <c r="AM8" s="27"/>
    </row>
    <row r="9" spans="1:41" ht="75" x14ac:dyDescent="0.25">
      <c r="A9" s="138">
        <v>1</v>
      </c>
      <c r="B9" s="118" t="s">
        <v>122</v>
      </c>
      <c r="C9" s="118" t="s">
        <v>121</v>
      </c>
      <c r="D9" s="118">
        <v>6658312810</v>
      </c>
      <c r="E9" s="118">
        <v>1000053281</v>
      </c>
      <c r="F9" s="124" t="s">
        <v>509</v>
      </c>
      <c r="G9" s="126">
        <v>8000736079</v>
      </c>
      <c r="H9" s="119">
        <v>45804</v>
      </c>
      <c r="I9" s="120" t="s">
        <v>511</v>
      </c>
      <c r="J9" s="120"/>
      <c r="K9" s="121">
        <v>97290982.730000004</v>
      </c>
      <c r="L9" s="121"/>
      <c r="M9" s="120" t="s">
        <v>513</v>
      </c>
      <c r="N9" s="120" t="s">
        <v>518</v>
      </c>
      <c r="O9" s="120"/>
      <c r="P9" s="118" t="s">
        <v>517</v>
      </c>
      <c r="Q9" s="118" t="s">
        <v>168</v>
      </c>
      <c r="R9" s="118" t="s">
        <v>519</v>
      </c>
      <c r="S9" s="121">
        <v>0</v>
      </c>
      <c r="T9" s="121">
        <v>1120865.1000000001</v>
      </c>
      <c r="U9" s="121">
        <v>1120865.1000000001</v>
      </c>
      <c r="V9" s="125"/>
      <c r="W9" s="125"/>
      <c r="X9" s="125"/>
      <c r="Y9" s="125"/>
      <c r="Z9" s="125"/>
      <c r="AA9" s="122"/>
      <c r="AB9" s="128"/>
      <c r="AC9" s="128"/>
      <c r="AD9" s="128"/>
      <c r="AE9" s="137"/>
      <c r="AF9" s="123" t="s">
        <v>1079</v>
      </c>
      <c r="AG9" s="123"/>
      <c r="AH9" s="122" t="s">
        <v>616</v>
      </c>
      <c r="AI9" s="129">
        <v>1</v>
      </c>
      <c r="AJ9" s="128"/>
      <c r="AK9" s="128"/>
      <c r="AL9" s="128"/>
      <c r="AM9" s="128"/>
    </row>
    <row r="10" spans="1:41" ht="60" x14ac:dyDescent="0.25">
      <c r="B10" s="118" t="s">
        <v>122</v>
      </c>
      <c r="C10" s="118" t="s">
        <v>121</v>
      </c>
      <c r="D10" s="118">
        <v>6658312810</v>
      </c>
      <c r="E10" s="118">
        <v>1000053281</v>
      </c>
      <c r="F10" s="124" t="s">
        <v>1078</v>
      </c>
      <c r="G10" s="126">
        <v>9000559635</v>
      </c>
      <c r="H10" s="119">
        <v>45944</v>
      </c>
      <c r="I10" s="120" t="s">
        <v>68</v>
      </c>
      <c r="J10" s="120"/>
      <c r="K10" s="121"/>
      <c r="L10" s="121"/>
      <c r="M10" s="120"/>
      <c r="N10" s="120"/>
      <c r="O10" s="120"/>
      <c r="P10" s="118"/>
      <c r="Q10" s="118" t="s">
        <v>168</v>
      </c>
      <c r="R10" s="118" t="s">
        <v>519</v>
      </c>
      <c r="S10" s="121"/>
      <c r="T10" s="121"/>
      <c r="U10" s="121"/>
      <c r="V10" s="125"/>
      <c r="W10" s="125"/>
      <c r="X10" s="125"/>
      <c r="Y10" s="125"/>
      <c r="Z10" s="125"/>
      <c r="AA10" s="122"/>
      <c r="AB10" s="128"/>
      <c r="AC10" s="128"/>
      <c r="AD10" s="128"/>
      <c r="AE10" s="137"/>
      <c r="AF10" s="124"/>
      <c r="AG10" s="123"/>
      <c r="AH10" s="122"/>
      <c r="AI10" s="129"/>
      <c r="AJ10" s="128"/>
      <c r="AK10" s="128"/>
      <c r="AL10" s="128"/>
      <c r="AM10" s="128"/>
    </row>
    <row r="11" spans="1:41" s="159" customFormat="1" ht="17.25" customHeight="1" x14ac:dyDescent="0.25">
      <c r="B11" s="8"/>
      <c r="C11" s="9"/>
      <c r="D11" s="9"/>
      <c r="E11" s="8"/>
      <c r="F11" s="36"/>
      <c r="G11" s="22"/>
      <c r="H11" s="180"/>
      <c r="I11" s="13"/>
      <c r="J11" s="13"/>
      <c r="K11" s="41"/>
      <c r="L11" s="41">
        <f>SUM(K9)</f>
        <v>97290982.730000004</v>
      </c>
      <c r="M11" s="15"/>
      <c r="N11" s="13"/>
      <c r="O11" s="15"/>
      <c r="P11" s="9"/>
      <c r="Q11" s="9"/>
      <c r="R11" s="9"/>
      <c r="S11" s="189"/>
      <c r="T11" s="187"/>
      <c r="U11" s="187"/>
      <c r="V11" s="33"/>
      <c r="W11" s="33"/>
      <c r="X11" s="33"/>
      <c r="Y11" s="33"/>
      <c r="Z11" s="33"/>
      <c r="AA11" s="52"/>
      <c r="AB11" s="27"/>
      <c r="AC11" s="33"/>
      <c r="AD11" s="33"/>
      <c r="AE11" s="33"/>
      <c r="AF11" s="33"/>
      <c r="AG11" s="33"/>
      <c r="AH11" s="33"/>
      <c r="AI11" s="33"/>
      <c r="AJ11" s="8"/>
      <c r="AK11" s="33"/>
      <c r="AL11" s="33"/>
      <c r="AM11" s="33"/>
      <c r="AN11" s="230"/>
      <c r="AO11" s="26"/>
    </row>
    <row r="12" spans="1:41" ht="195" x14ac:dyDescent="0.25">
      <c r="A12" s="138">
        <v>1</v>
      </c>
      <c r="B12" s="118" t="s">
        <v>122</v>
      </c>
      <c r="C12" s="118" t="s">
        <v>121</v>
      </c>
      <c r="D12" s="118">
        <v>6658312810</v>
      </c>
      <c r="E12" s="118">
        <v>1000053281</v>
      </c>
      <c r="F12" s="124" t="s">
        <v>510</v>
      </c>
      <c r="G12" s="126">
        <v>8000736185</v>
      </c>
      <c r="H12" s="119">
        <v>45804</v>
      </c>
      <c r="I12" s="120" t="s">
        <v>512</v>
      </c>
      <c r="J12" s="120"/>
      <c r="K12" s="121">
        <v>202587284.58000001</v>
      </c>
      <c r="L12" s="121"/>
      <c r="M12" s="120" t="s">
        <v>514</v>
      </c>
      <c r="N12" s="120" t="s">
        <v>515</v>
      </c>
      <c r="O12" s="120"/>
      <c r="P12" s="118" t="s">
        <v>516</v>
      </c>
      <c r="Q12" s="118" t="s">
        <v>168</v>
      </c>
      <c r="R12" s="118" t="s">
        <v>519</v>
      </c>
      <c r="S12" s="121"/>
      <c r="T12" s="121"/>
      <c r="U12" s="121"/>
      <c r="V12" s="125"/>
      <c r="W12" s="125"/>
      <c r="X12" s="125"/>
      <c r="Y12" s="125"/>
      <c r="Z12" s="125"/>
      <c r="AA12" s="122"/>
      <c r="AB12" s="128"/>
      <c r="AC12" s="128"/>
      <c r="AD12" s="128"/>
      <c r="AE12" s="137"/>
      <c r="AF12" s="123" t="s">
        <v>1079</v>
      </c>
      <c r="AG12" s="123"/>
      <c r="AH12" s="122" t="s">
        <v>616</v>
      </c>
      <c r="AI12" s="129">
        <v>1</v>
      </c>
      <c r="AJ12" s="128"/>
      <c r="AK12" s="128"/>
      <c r="AL12" s="128"/>
      <c r="AM12" s="128"/>
    </row>
    <row r="13" spans="1:41" ht="75" x14ac:dyDescent="0.25">
      <c r="B13" s="118" t="s">
        <v>122</v>
      </c>
      <c r="C13" s="118" t="s">
        <v>121</v>
      </c>
      <c r="D13" s="118">
        <v>6658312810</v>
      </c>
      <c r="E13" s="118">
        <v>1000053281</v>
      </c>
      <c r="F13" s="124" t="s">
        <v>1080</v>
      </c>
      <c r="G13" s="126">
        <v>9000570014</v>
      </c>
      <c r="H13" s="119">
        <v>45944</v>
      </c>
      <c r="I13" s="120" t="s">
        <v>1081</v>
      </c>
      <c r="J13" s="120"/>
      <c r="K13" s="121"/>
      <c r="L13" s="121"/>
      <c r="M13" s="120" t="s">
        <v>1082</v>
      </c>
      <c r="N13" s="120"/>
      <c r="O13" s="120"/>
      <c r="P13" s="118"/>
      <c r="Q13" s="118" t="s">
        <v>168</v>
      </c>
      <c r="R13" s="118" t="s">
        <v>519</v>
      </c>
      <c r="S13" s="121"/>
      <c r="T13" s="121"/>
      <c r="U13" s="121"/>
      <c r="V13" s="125"/>
      <c r="W13" s="125"/>
      <c r="X13" s="125"/>
      <c r="Y13" s="125"/>
      <c r="Z13" s="125"/>
      <c r="AA13" s="122"/>
      <c r="AB13" s="128"/>
      <c r="AC13" s="128"/>
      <c r="AD13" s="128"/>
      <c r="AE13" s="137"/>
      <c r="AF13" s="123"/>
      <c r="AG13" s="123"/>
      <c r="AH13" s="122"/>
      <c r="AI13" s="129"/>
      <c r="AJ13" s="128"/>
      <c r="AK13" s="128"/>
      <c r="AL13" s="128"/>
      <c r="AM13" s="128"/>
    </row>
    <row r="14" spans="1:41" s="23" customFormat="1" x14ac:dyDescent="0.25">
      <c r="B14" s="4"/>
      <c r="C14" s="4"/>
      <c r="D14" s="4"/>
      <c r="E14" s="4"/>
      <c r="F14" s="37"/>
      <c r="G14" s="30"/>
      <c r="H14" s="4"/>
      <c r="I14" s="15"/>
      <c r="J14" s="15"/>
      <c r="K14" s="55"/>
      <c r="L14" s="55">
        <f>SUM(K12)</f>
        <v>202587284.58000001</v>
      </c>
      <c r="M14" s="17"/>
      <c r="N14" s="15"/>
      <c r="O14" s="15"/>
      <c r="P14" s="8"/>
      <c r="Q14" s="4"/>
      <c r="R14" s="4"/>
      <c r="S14" s="4"/>
      <c r="T14" s="15"/>
      <c r="U14" s="15"/>
      <c r="V14" s="15"/>
      <c r="W14" s="15"/>
      <c r="X14" s="15"/>
      <c r="Y14" s="15"/>
      <c r="Z14" s="15"/>
      <c r="AA14" s="15"/>
      <c r="AB14" s="15"/>
      <c r="AC14" s="15"/>
      <c r="AD14" s="15"/>
      <c r="AE14" s="15"/>
      <c r="AF14" s="15"/>
    </row>
    <row r="15" spans="1:41" ht="105" x14ac:dyDescent="0.25">
      <c r="A15" s="138">
        <v>1</v>
      </c>
      <c r="B15" s="118" t="s">
        <v>122</v>
      </c>
      <c r="C15" s="118" t="s">
        <v>121</v>
      </c>
      <c r="D15" s="118">
        <v>6658312810</v>
      </c>
      <c r="E15" s="118">
        <v>1000053281</v>
      </c>
      <c r="F15" s="124" t="s">
        <v>523</v>
      </c>
      <c r="G15" s="126">
        <v>8000736176</v>
      </c>
      <c r="H15" s="119" t="s">
        <v>524</v>
      </c>
      <c r="I15" s="120" t="s">
        <v>525</v>
      </c>
      <c r="J15" s="120"/>
      <c r="K15" s="121">
        <v>70992436.739999995</v>
      </c>
      <c r="L15" s="121"/>
      <c r="M15" s="120" t="s">
        <v>526</v>
      </c>
      <c r="N15" s="120" t="s">
        <v>527</v>
      </c>
      <c r="O15" s="120"/>
      <c r="P15" s="118" t="s">
        <v>528</v>
      </c>
      <c r="Q15" s="118" t="s">
        <v>168</v>
      </c>
      <c r="R15" s="118" t="s">
        <v>519</v>
      </c>
      <c r="S15" s="121"/>
      <c r="T15" s="121"/>
      <c r="U15" s="121"/>
      <c r="V15" s="125"/>
      <c r="W15" s="125"/>
      <c r="X15" s="125"/>
      <c r="Y15" s="125"/>
      <c r="Z15" s="125"/>
      <c r="AA15" s="122"/>
      <c r="AB15" s="128"/>
      <c r="AC15" s="128"/>
      <c r="AD15" s="128"/>
      <c r="AE15" s="137"/>
      <c r="AF15" s="123" t="s">
        <v>1079</v>
      </c>
      <c r="AG15" s="123"/>
      <c r="AH15" s="122" t="s">
        <v>616</v>
      </c>
      <c r="AI15" s="129">
        <v>1</v>
      </c>
      <c r="AJ15" s="128"/>
      <c r="AK15" s="128"/>
      <c r="AL15" s="128"/>
      <c r="AM15" s="128"/>
    </row>
    <row r="16" spans="1:41" ht="75" x14ac:dyDescent="0.25">
      <c r="B16" s="118" t="s">
        <v>122</v>
      </c>
      <c r="C16" s="118" t="s">
        <v>121</v>
      </c>
      <c r="D16" s="118">
        <v>6658312810</v>
      </c>
      <c r="E16" s="118">
        <v>1000053281</v>
      </c>
      <c r="F16" s="124" t="s">
        <v>543</v>
      </c>
      <c r="G16" s="126">
        <v>9000570008</v>
      </c>
      <c r="H16" s="119" t="s">
        <v>1083</v>
      </c>
      <c r="I16" s="120" t="s">
        <v>1081</v>
      </c>
      <c r="J16" s="120"/>
      <c r="K16" s="121"/>
      <c r="L16" s="121"/>
      <c r="M16" s="120" t="s">
        <v>1082</v>
      </c>
      <c r="N16" s="120"/>
      <c r="O16" s="120"/>
      <c r="P16" s="118"/>
      <c r="Q16" s="118" t="s">
        <v>168</v>
      </c>
      <c r="R16" s="118" t="s">
        <v>519</v>
      </c>
      <c r="S16" s="121"/>
      <c r="T16" s="121"/>
      <c r="U16" s="121"/>
      <c r="V16" s="125"/>
      <c r="W16" s="125"/>
      <c r="X16" s="125"/>
      <c r="Y16" s="125"/>
      <c r="Z16" s="125"/>
      <c r="AA16" s="122"/>
      <c r="AB16" s="128"/>
      <c r="AC16" s="128"/>
      <c r="AD16" s="128"/>
      <c r="AE16" s="137"/>
      <c r="AF16" s="123"/>
      <c r="AG16" s="123"/>
      <c r="AH16" s="122"/>
      <c r="AI16" s="129"/>
      <c r="AJ16" s="128"/>
      <c r="AK16" s="128"/>
      <c r="AL16" s="128"/>
      <c r="AM16" s="128"/>
    </row>
    <row r="17" spans="1:29" s="23" customFormat="1" x14ac:dyDescent="0.25">
      <c r="B17" s="4"/>
      <c r="C17" s="4"/>
      <c r="D17" s="4"/>
      <c r="E17" s="4"/>
      <c r="F17" s="37"/>
      <c r="G17" s="30"/>
      <c r="H17" s="4"/>
      <c r="I17" s="15"/>
      <c r="J17" s="15"/>
      <c r="K17" s="55"/>
      <c r="L17" s="55">
        <f>SUM(K15:K17)</f>
        <v>70992436.739999995</v>
      </c>
      <c r="M17" s="17"/>
      <c r="N17" s="15"/>
      <c r="O17" s="15"/>
      <c r="P17" s="8"/>
      <c r="Q17" s="4"/>
      <c r="R17" s="4"/>
      <c r="S17" s="4"/>
      <c r="T17" s="15"/>
      <c r="U17" s="15"/>
      <c r="V17" s="115"/>
      <c r="W17" s="115"/>
      <c r="X17" s="115"/>
      <c r="Y17" s="115"/>
      <c r="Z17" s="115"/>
      <c r="AA17" s="116"/>
      <c r="AC17" s="27"/>
    </row>
    <row r="18" spans="1:29" x14ac:dyDescent="0.25">
      <c r="A18" s="138">
        <f>SUM(A3:A16)</f>
        <v>5</v>
      </c>
    </row>
  </sheetData>
  <mergeCells count="27">
    <mergeCell ref="A1:A2"/>
    <mergeCell ref="G1:G2"/>
    <mergeCell ref="B1:B2"/>
    <mergeCell ref="C1:C2"/>
    <mergeCell ref="D1:D2"/>
    <mergeCell ref="E1:E2"/>
    <mergeCell ref="F1:F2"/>
    <mergeCell ref="S1:S2"/>
    <mergeCell ref="H1:H2"/>
    <mergeCell ref="I1:I2"/>
    <mergeCell ref="J1:J2"/>
    <mergeCell ref="K1:K2"/>
    <mergeCell ref="L1:L2"/>
    <mergeCell ref="M1:M2"/>
    <mergeCell ref="N1:N2"/>
    <mergeCell ref="O1:O2"/>
    <mergeCell ref="P1:P2"/>
    <mergeCell ref="Q1:Q2"/>
    <mergeCell ref="R1:R2"/>
    <mergeCell ref="AB1:AB2"/>
    <mergeCell ref="AD1:AN1"/>
    <mergeCell ref="T1:T2"/>
    <mergeCell ref="U1:U2"/>
    <mergeCell ref="V1:X1"/>
    <mergeCell ref="Y1:Y2"/>
    <mergeCell ref="Z1:Z2"/>
    <mergeCell ref="AA1:AA2"/>
  </mergeCells>
  <hyperlinks>
    <hyperlink ref="F3" r:id="rId1"/>
    <hyperlink ref="F4" r:id="rId2"/>
    <hyperlink ref="AF3" r:id="rId3" display="Соглашение о расторжении Договора № СИБЭРСИБЭМ-24/2237"/>
    <hyperlink ref="F7" r:id="rId4"/>
    <hyperlink ref="F9" r:id="rId5"/>
    <hyperlink ref="F10" r:id="rId6"/>
    <hyperlink ref="F12" r:id="rId7"/>
    <hyperlink ref="F13" r:id="rId8"/>
    <hyperlink ref="F15" r:id="rId9"/>
    <hyperlink ref="F16" r:id="rId1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61"/>
  <sheetViews>
    <sheetView topLeftCell="L1" zoomScale="80" zoomScaleNormal="80" workbookViewId="0">
      <pane ySplit="2" topLeftCell="A54" activePane="bottomLeft" state="frozen"/>
      <selection pane="bottomLeft" activeCell="Z83" sqref="Z83"/>
    </sheetView>
  </sheetViews>
  <sheetFormatPr defaultColWidth="8.85546875" defaultRowHeight="15.75" x14ac:dyDescent="0.25"/>
  <cols>
    <col min="1" max="1" width="8.85546875" style="138"/>
    <col min="2" max="2" width="20.85546875" style="176" customWidth="1"/>
    <col min="3" max="3" width="20.28515625" style="171" customWidth="1"/>
    <col min="4" max="4" width="19.85546875" style="171" customWidth="1"/>
    <col min="5" max="5" width="17.5703125" style="171" customWidth="1"/>
    <col min="6" max="6" width="23" style="172" customWidth="1"/>
    <col min="7" max="7" width="16" style="171" customWidth="1"/>
    <col min="8" max="8" width="19.28515625" style="171" customWidth="1"/>
    <col min="9" max="9" width="32.85546875" style="173" customWidth="1"/>
    <col min="10" max="10" width="21.85546875" style="173" hidden="1" customWidth="1"/>
    <col min="11" max="11" width="21.28515625" style="174" customWidth="1"/>
    <col min="12" max="12" width="21.140625" style="179" customWidth="1"/>
    <col min="13" max="13" width="37.5703125" style="175" customWidth="1"/>
    <col min="14" max="14" width="34.7109375" style="173" customWidth="1"/>
    <col min="15" max="15" width="18.42578125" style="173" customWidth="1"/>
    <col min="16" max="16" width="29.5703125" style="176" hidden="1" customWidth="1"/>
    <col min="17" max="17" width="18" style="171" hidden="1" customWidth="1"/>
    <col min="18" max="18" width="16.140625" style="171" customWidth="1"/>
    <col min="19" max="19" width="21.85546875" style="171" customWidth="1"/>
    <col min="20" max="20" width="20.85546875" style="173" customWidth="1"/>
    <col min="21" max="21" width="20.140625" style="173" customWidth="1"/>
    <col min="22" max="22" width="23.7109375" style="168" customWidth="1"/>
    <col min="23" max="23" width="18.85546875" style="168" customWidth="1"/>
    <col min="24" max="24" width="30" style="168" customWidth="1"/>
    <col min="25" max="25" width="26.140625" style="168" customWidth="1"/>
    <col min="26" max="26" width="32.140625" style="168" customWidth="1"/>
    <col min="27" max="27" width="35.140625" style="170" hidden="1" customWidth="1"/>
    <col min="28" max="28" width="36.42578125" style="138" hidden="1" customWidth="1"/>
    <col min="29" max="29" width="23.28515625" style="138" hidden="1" customWidth="1"/>
    <col min="30" max="30" width="27.85546875" style="138" hidden="1" customWidth="1"/>
    <col min="31" max="31" width="30.5703125" style="138" hidden="1" customWidth="1"/>
    <col min="32" max="32" width="20.7109375" style="138" customWidth="1"/>
    <col min="33" max="16384" width="8.85546875" style="138"/>
  </cols>
  <sheetData>
    <row r="1" spans="1:32" ht="15" customHeight="1" x14ac:dyDescent="0.25">
      <c r="A1" s="506"/>
      <c r="B1" s="506" t="s">
        <v>0</v>
      </c>
      <c r="C1" s="500" t="s">
        <v>1</v>
      </c>
      <c r="D1" s="500" t="s">
        <v>8</v>
      </c>
      <c r="E1" s="500" t="s">
        <v>156</v>
      </c>
      <c r="F1" s="500" t="s">
        <v>2</v>
      </c>
      <c r="G1" s="500" t="s">
        <v>10</v>
      </c>
      <c r="H1" s="498" t="s">
        <v>157</v>
      </c>
      <c r="I1" s="500" t="s">
        <v>5</v>
      </c>
      <c r="J1" s="496" t="s">
        <v>7</v>
      </c>
      <c r="K1" s="502" t="s">
        <v>3</v>
      </c>
      <c r="L1" s="528" t="s">
        <v>158</v>
      </c>
      <c r="M1" s="504" t="s">
        <v>154</v>
      </c>
      <c r="N1" s="500" t="s">
        <v>160</v>
      </c>
      <c r="O1" s="500" t="s">
        <v>166</v>
      </c>
      <c r="P1" s="500" t="s">
        <v>159</v>
      </c>
      <c r="Q1" s="500" t="s">
        <v>6</v>
      </c>
      <c r="R1" s="496" t="s">
        <v>4</v>
      </c>
      <c r="S1" s="496" t="s">
        <v>155</v>
      </c>
      <c r="T1" s="491" t="s">
        <v>146</v>
      </c>
      <c r="U1" s="491" t="s">
        <v>147</v>
      </c>
      <c r="V1" s="492" t="s">
        <v>148</v>
      </c>
      <c r="W1" s="492"/>
      <c r="X1" s="492"/>
      <c r="Y1" s="494" t="s">
        <v>152</v>
      </c>
      <c r="Z1" s="494" t="s">
        <v>153</v>
      </c>
      <c r="AA1" s="495" t="s">
        <v>161</v>
      </c>
      <c r="AB1" s="495" t="s">
        <v>9</v>
      </c>
      <c r="AC1" s="60"/>
      <c r="AD1" s="526" t="s">
        <v>578</v>
      </c>
      <c r="AE1" s="527"/>
      <c r="AF1" s="527"/>
    </row>
    <row r="2" spans="1:32" ht="48.6" customHeight="1" thickBot="1" x14ac:dyDescent="0.3">
      <c r="A2" s="507"/>
      <c r="B2" s="507"/>
      <c r="C2" s="510"/>
      <c r="D2" s="510"/>
      <c r="E2" s="501"/>
      <c r="F2" s="501"/>
      <c r="G2" s="501"/>
      <c r="H2" s="499"/>
      <c r="I2" s="501"/>
      <c r="J2" s="497"/>
      <c r="K2" s="503"/>
      <c r="L2" s="529"/>
      <c r="M2" s="505"/>
      <c r="N2" s="501"/>
      <c r="O2" s="501"/>
      <c r="P2" s="501"/>
      <c r="Q2" s="501"/>
      <c r="R2" s="497"/>
      <c r="S2" s="497"/>
      <c r="T2" s="491"/>
      <c r="U2" s="491"/>
      <c r="V2" s="61" t="s">
        <v>149</v>
      </c>
      <c r="W2" s="61" t="s">
        <v>150</v>
      </c>
      <c r="X2" s="61" t="s">
        <v>151</v>
      </c>
      <c r="Y2" s="494"/>
      <c r="Z2" s="494"/>
      <c r="AA2" s="495"/>
      <c r="AB2" s="495"/>
      <c r="AC2" s="58" t="s">
        <v>579</v>
      </c>
      <c r="AD2" s="58" t="s">
        <v>580</v>
      </c>
      <c r="AE2" s="59" t="s">
        <v>581</v>
      </c>
      <c r="AF2" s="59" t="s">
        <v>672</v>
      </c>
    </row>
    <row r="3" spans="1:32" ht="135" x14ac:dyDescent="0.25">
      <c r="A3" s="26">
        <v>1</v>
      </c>
      <c r="B3" s="375" t="s">
        <v>258</v>
      </c>
      <c r="C3" s="46" t="s">
        <v>257</v>
      </c>
      <c r="D3" s="46">
        <v>7709244578</v>
      </c>
      <c r="E3" s="10">
        <v>1000172878</v>
      </c>
      <c r="F3" s="141" t="s">
        <v>259</v>
      </c>
      <c r="G3" s="19">
        <v>8000669037</v>
      </c>
      <c r="H3" s="46" t="s">
        <v>246</v>
      </c>
      <c r="I3" s="45" t="s">
        <v>260</v>
      </c>
      <c r="J3" s="45" t="s">
        <v>195</v>
      </c>
      <c r="K3" s="142">
        <v>53242866</v>
      </c>
      <c r="L3" s="153"/>
      <c r="M3" s="14" t="s">
        <v>11</v>
      </c>
      <c r="N3" s="45" t="s">
        <v>253</v>
      </c>
      <c r="O3" s="14"/>
      <c r="P3" s="46" t="s">
        <v>261</v>
      </c>
      <c r="Q3" s="46" t="s">
        <v>168</v>
      </c>
      <c r="R3" s="46" t="s">
        <v>55</v>
      </c>
      <c r="S3" s="44">
        <v>8886185.6199999992</v>
      </c>
      <c r="T3" s="44">
        <v>8886185.6199999992</v>
      </c>
      <c r="U3" s="14">
        <v>0</v>
      </c>
      <c r="V3" s="47"/>
      <c r="W3" s="47"/>
      <c r="X3" s="47"/>
      <c r="Y3" s="47"/>
      <c r="Z3" s="47"/>
      <c r="AA3" s="157">
        <v>45641</v>
      </c>
      <c r="AB3" s="48"/>
      <c r="AC3" s="48"/>
      <c r="AD3" s="48"/>
      <c r="AE3" s="48"/>
      <c r="AF3" s="63" t="s">
        <v>601</v>
      </c>
    </row>
    <row r="4" spans="1:32" ht="75" x14ac:dyDescent="0.25">
      <c r="A4" s="26"/>
      <c r="B4" s="375" t="s">
        <v>258</v>
      </c>
      <c r="C4" s="46" t="s">
        <v>257</v>
      </c>
      <c r="D4" s="46">
        <v>7709244578</v>
      </c>
      <c r="E4" s="10">
        <v>1000172878</v>
      </c>
      <c r="F4" s="158" t="s">
        <v>393</v>
      </c>
      <c r="G4" s="19">
        <v>9000516489</v>
      </c>
      <c r="H4" s="75">
        <v>45698</v>
      </c>
      <c r="I4" s="14" t="s">
        <v>394</v>
      </c>
      <c r="J4" s="45" t="s">
        <v>195</v>
      </c>
      <c r="K4" s="44">
        <v>0</v>
      </c>
      <c r="L4" s="93"/>
      <c r="M4" s="14"/>
      <c r="N4" s="14"/>
      <c r="O4" s="14"/>
      <c r="P4" s="10"/>
      <c r="Q4" s="46" t="s">
        <v>168</v>
      </c>
      <c r="R4" s="46" t="s">
        <v>55</v>
      </c>
      <c r="S4" s="10"/>
      <c r="T4" s="14"/>
      <c r="U4" s="14"/>
      <c r="V4" s="47"/>
      <c r="W4" s="47"/>
      <c r="X4" s="47"/>
      <c r="Y4" s="47"/>
      <c r="Z4" s="47"/>
      <c r="AA4" s="157"/>
      <c r="AB4" s="95" t="s">
        <v>395</v>
      </c>
      <c r="AC4" s="48"/>
      <c r="AD4" s="48"/>
      <c r="AE4" s="48"/>
      <c r="AF4" s="48"/>
    </row>
    <row r="5" spans="1:32" ht="75" x14ac:dyDescent="0.25">
      <c r="A5" s="26"/>
      <c r="B5" s="375" t="s">
        <v>258</v>
      </c>
      <c r="C5" s="46" t="s">
        <v>257</v>
      </c>
      <c r="D5" s="46">
        <v>7709244578</v>
      </c>
      <c r="E5" s="10">
        <v>1000172878</v>
      </c>
      <c r="F5" s="76" t="s">
        <v>497</v>
      </c>
      <c r="G5" s="19">
        <v>9000534370</v>
      </c>
      <c r="H5" s="75">
        <v>45747</v>
      </c>
      <c r="I5" s="14" t="s">
        <v>498</v>
      </c>
      <c r="J5" s="45" t="s">
        <v>195</v>
      </c>
      <c r="K5" s="44">
        <f>L5</f>
        <v>0</v>
      </c>
      <c r="L5" s="93"/>
      <c r="M5" s="14" t="s">
        <v>11</v>
      </c>
      <c r="N5" s="14" t="s">
        <v>499</v>
      </c>
      <c r="O5" s="14"/>
      <c r="P5" s="10" t="s">
        <v>500</v>
      </c>
      <c r="Q5" s="46" t="s">
        <v>168</v>
      </c>
      <c r="R5" s="46" t="s">
        <v>55</v>
      </c>
      <c r="S5" s="10"/>
      <c r="T5" s="14"/>
      <c r="U5" s="14"/>
      <c r="V5" s="47"/>
      <c r="W5" s="47"/>
      <c r="X5" s="47"/>
      <c r="Y5" s="47"/>
      <c r="Z5" s="47"/>
      <c r="AA5" s="157"/>
      <c r="AB5" s="95"/>
      <c r="AC5" s="48"/>
      <c r="AD5" s="48"/>
      <c r="AE5" s="48"/>
      <c r="AF5" s="48"/>
    </row>
    <row r="6" spans="1:32" s="160" customFormat="1" x14ac:dyDescent="0.25">
      <c r="A6" s="8"/>
      <c r="B6" s="374"/>
      <c r="C6" s="24"/>
      <c r="D6" s="21"/>
      <c r="E6" s="8"/>
      <c r="F6" s="12"/>
      <c r="G6" s="34"/>
      <c r="H6" s="9"/>
      <c r="I6" s="5"/>
      <c r="J6" s="5"/>
      <c r="K6" s="40"/>
      <c r="L6" s="40">
        <v>8886185.6199999992</v>
      </c>
      <c r="M6" s="6"/>
      <c r="N6" s="5"/>
      <c r="O6" s="6"/>
      <c r="P6" s="5"/>
      <c r="Q6" s="9"/>
      <c r="R6" s="9"/>
      <c r="S6" s="8" t="s">
        <v>37</v>
      </c>
      <c r="T6" s="6" t="s">
        <v>37</v>
      </c>
      <c r="U6" s="6" t="s">
        <v>37</v>
      </c>
      <c r="V6" s="35"/>
      <c r="W6" s="35"/>
      <c r="X6" s="35"/>
      <c r="Y6" s="33"/>
      <c r="Z6" s="33"/>
      <c r="AA6" s="52"/>
      <c r="AB6" s="53"/>
      <c r="AC6" s="52"/>
      <c r="AD6" s="52"/>
      <c r="AE6" s="52"/>
      <c r="AF6" s="52"/>
    </row>
    <row r="7" spans="1:32" ht="135" x14ac:dyDescent="0.25">
      <c r="A7" s="26">
        <v>1</v>
      </c>
      <c r="B7" s="375" t="s">
        <v>280</v>
      </c>
      <c r="C7" s="46" t="s">
        <v>279</v>
      </c>
      <c r="D7" s="46">
        <v>3448057936</v>
      </c>
      <c r="E7" s="10">
        <v>1000108565</v>
      </c>
      <c r="F7" s="141" t="s">
        <v>281</v>
      </c>
      <c r="G7" s="19">
        <v>8000669035</v>
      </c>
      <c r="H7" s="46" t="s">
        <v>282</v>
      </c>
      <c r="I7" s="45" t="s">
        <v>251</v>
      </c>
      <c r="J7" s="45" t="s">
        <v>195</v>
      </c>
      <c r="K7" s="142">
        <v>54157116</v>
      </c>
      <c r="L7" s="153"/>
      <c r="M7" s="14" t="s">
        <v>283</v>
      </c>
      <c r="N7" s="45" t="s">
        <v>284</v>
      </c>
      <c r="O7" s="14"/>
      <c r="P7" s="46" t="s">
        <v>285</v>
      </c>
      <c r="Q7" s="46" t="s">
        <v>239</v>
      </c>
      <c r="R7" s="46" t="s">
        <v>55</v>
      </c>
      <c r="S7" s="44">
        <v>53728296.950000003</v>
      </c>
      <c r="T7" s="44">
        <v>53728296.950000003</v>
      </c>
      <c r="U7" s="44">
        <v>2990000</v>
      </c>
      <c r="V7" s="47"/>
      <c r="W7" s="47"/>
      <c r="X7" s="47"/>
      <c r="Y7" s="47"/>
      <c r="Z7" s="47"/>
      <c r="AA7" s="157" t="s">
        <v>337</v>
      </c>
      <c r="AB7" s="48"/>
      <c r="AC7" s="48"/>
      <c r="AD7" s="48"/>
      <c r="AE7" s="48" t="s">
        <v>604</v>
      </c>
      <c r="AF7" s="63" t="s">
        <v>601</v>
      </c>
    </row>
    <row r="8" spans="1:32" ht="75" x14ac:dyDescent="0.25">
      <c r="A8" s="26"/>
      <c r="B8" s="375" t="s">
        <v>280</v>
      </c>
      <c r="C8" s="46" t="s">
        <v>279</v>
      </c>
      <c r="D8" s="46">
        <v>3448057936</v>
      </c>
      <c r="E8" s="10">
        <v>1000108565</v>
      </c>
      <c r="F8" s="76" t="s">
        <v>398</v>
      </c>
      <c r="G8" s="19">
        <v>9000510878</v>
      </c>
      <c r="H8" s="75">
        <v>45651</v>
      </c>
      <c r="I8" s="14" t="s">
        <v>376</v>
      </c>
      <c r="J8" s="45" t="s">
        <v>195</v>
      </c>
      <c r="K8" s="44">
        <v>0</v>
      </c>
      <c r="L8" s="93"/>
      <c r="M8" s="14" t="s">
        <v>11</v>
      </c>
      <c r="N8" s="14" t="s">
        <v>377</v>
      </c>
      <c r="O8" s="14"/>
      <c r="P8" s="10" t="s">
        <v>378</v>
      </c>
      <c r="Q8" s="10" t="s">
        <v>379</v>
      </c>
      <c r="R8" s="46" t="s">
        <v>55</v>
      </c>
      <c r="S8" s="10"/>
      <c r="T8" s="14"/>
      <c r="U8" s="14"/>
      <c r="V8" s="47"/>
      <c r="W8" s="47"/>
      <c r="X8" s="47"/>
      <c r="Y8" s="47"/>
      <c r="Z8" s="47"/>
      <c r="AA8" s="157"/>
      <c r="AB8" s="48"/>
      <c r="AC8" s="48"/>
      <c r="AD8" s="48"/>
      <c r="AE8" s="48"/>
      <c r="AF8" s="48"/>
    </row>
    <row r="9" spans="1:32" ht="75" x14ac:dyDescent="0.25">
      <c r="A9" s="26"/>
      <c r="B9" s="375" t="s">
        <v>280</v>
      </c>
      <c r="C9" s="46" t="s">
        <v>279</v>
      </c>
      <c r="D9" s="46">
        <v>3448057936</v>
      </c>
      <c r="E9" s="10">
        <v>1000108565</v>
      </c>
      <c r="F9" s="76" t="s">
        <v>431</v>
      </c>
      <c r="G9" s="19">
        <v>9000531385</v>
      </c>
      <c r="H9" s="75">
        <v>45735</v>
      </c>
      <c r="I9" s="14" t="s">
        <v>432</v>
      </c>
      <c r="J9" s="45" t="s">
        <v>195</v>
      </c>
      <c r="K9" s="139">
        <v>-428819.04</v>
      </c>
      <c r="L9" s="93"/>
      <c r="M9" s="14" t="s">
        <v>11</v>
      </c>
      <c r="N9" s="14" t="s">
        <v>433</v>
      </c>
      <c r="O9" s="14"/>
      <c r="P9" s="10" t="s">
        <v>434</v>
      </c>
      <c r="Q9" s="10" t="s">
        <v>379</v>
      </c>
      <c r="R9" s="46" t="s">
        <v>55</v>
      </c>
      <c r="S9" s="10"/>
      <c r="T9" s="14"/>
      <c r="U9" s="14"/>
      <c r="V9" s="47"/>
      <c r="W9" s="47"/>
      <c r="X9" s="47"/>
      <c r="Y9" s="47"/>
      <c r="Z9" s="47"/>
      <c r="AA9" s="157"/>
      <c r="AB9" s="48"/>
      <c r="AC9" s="48"/>
      <c r="AD9" s="48"/>
      <c r="AE9" s="48"/>
      <c r="AF9" s="48"/>
    </row>
    <row r="10" spans="1:32" s="160" customFormat="1" x14ac:dyDescent="0.25">
      <c r="A10" s="8"/>
      <c r="B10" s="374"/>
      <c r="C10" s="24"/>
      <c r="D10" s="21"/>
      <c r="E10" s="8"/>
      <c r="F10" s="12"/>
      <c r="G10" s="34"/>
      <c r="H10" s="9"/>
      <c r="I10" s="5"/>
      <c r="J10" s="5"/>
      <c r="K10" s="40"/>
      <c r="L10" s="40">
        <f>SUM(K7:K10)</f>
        <v>53728296.960000001</v>
      </c>
      <c r="M10" s="6"/>
      <c r="N10" s="5"/>
      <c r="O10" s="6"/>
      <c r="P10" s="5"/>
      <c r="Q10" s="9"/>
      <c r="R10" s="9"/>
      <c r="S10" s="8" t="s">
        <v>37</v>
      </c>
      <c r="T10" s="6" t="s">
        <v>37</v>
      </c>
      <c r="U10" s="6" t="s">
        <v>37</v>
      </c>
      <c r="V10" s="35"/>
      <c r="W10" s="35"/>
      <c r="X10" s="35"/>
      <c r="Y10" s="33"/>
      <c r="Z10" s="33"/>
      <c r="AA10" s="52"/>
      <c r="AB10" s="53"/>
      <c r="AC10" s="52"/>
      <c r="AD10" s="52"/>
      <c r="AE10" s="52"/>
      <c r="AF10" s="52"/>
    </row>
    <row r="11" spans="1:32" ht="120" x14ac:dyDescent="0.25">
      <c r="A11" s="26">
        <v>1</v>
      </c>
      <c r="B11" s="375" t="s">
        <v>197</v>
      </c>
      <c r="C11" s="46" t="s">
        <v>198</v>
      </c>
      <c r="D11" s="46">
        <v>1900005740</v>
      </c>
      <c r="E11" s="10">
        <v>1000163266</v>
      </c>
      <c r="F11" s="141" t="s">
        <v>199</v>
      </c>
      <c r="G11" s="19">
        <v>8000649538</v>
      </c>
      <c r="H11" s="145">
        <v>45491</v>
      </c>
      <c r="I11" s="45" t="s">
        <v>200</v>
      </c>
      <c r="J11" s="45" t="s">
        <v>201</v>
      </c>
      <c r="K11" s="142">
        <v>345791810.39999998</v>
      </c>
      <c r="L11" s="142"/>
      <c r="M11" s="14" t="s">
        <v>204</v>
      </c>
      <c r="N11" s="45" t="s">
        <v>202</v>
      </c>
      <c r="O11" s="14"/>
      <c r="P11" s="46" t="s">
        <v>203</v>
      </c>
      <c r="Q11" s="46" t="s">
        <v>85</v>
      </c>
      <c r="R11" s="46" t="s">
        <v>15</v>
      </c>
      <c r="S11" s="44">
        <v>0</v>
      </c>
      <c r="T11" s="44">
        <v>69158362.079999998</v>
      </c>
      <c r="U11" s="44">
        <v>69158362.079999998</v>
      </c>
      <c r="V11" s="47"/>
      <c r="W11" s="47"/>
      <c r="X11" s="47"/>
      <c r="Y11" s="47"/>
      <c r="Z11" s="47"/>
      <c r="AA11" s="51" t="s">
        <v>211</v>
      </c>
      <c r="AB11" s="48"/>
      <c r="AC11" s="48"/>
      <c r="AD11" s="48"/>
      <c r="AE11" s="48"/>
      <c r="AF11" s="62" t="s">
        <v>619</v>
      </c>
    </row>
    <row r="12" spans="1:32" s="160" customFormat="1" x14ac:dyDescent="0.25">
      <c r="A12" s="8"/>
      <c r="B12" s="374"/>
      <c r="C12" s="24"/>
      <c r="D12" s="21"/>
      <c r="E12" s="8"/>
      <c r="F12" s="12"/>
      <c r="G12" s="34"/>
      <c r="H12" s="9"/>
      <c r="I12" s="5"/>
      <c r="J12" s="5"/>
      <c r="K12" s="40"/>
      <c r="L12" s="40">
        <f>SUM(K11)</f>
        <v>345791810.39999998</v>
      </c>
      <c r="M12" s="6"/>
      <c r="N12" s="5"/>
      <c r="O12" s="6"/>
      <c r="P12" s="5"/>
      <c r="Q12" s="9"/>
      <c r="R12" s="9"/>
      <c r="S12" s="8" t="s">
        <v>37</v>
      </c>
      <c r="T12" s="6" t="s">
        <v>37</v>
      </c>
      <c r="U12" s="6" t="s">
        <v>37</v>
      </c>
      <c r="V12" s="35"/>
      <c r="W12" s="35"/>
      <c r="X12" s="35"/>
      <c r="Y12" s="33"/>
      <c r="Z12" s="33"/>
      <c r="AA12" s="52"/>
      <c r="AB12" s="53"/>
      <c r="AC12" s="52"/>
      <c r="AD12" s="52"/>
      <c r="AE12" s="52"/>
      <c r="AF12" s="52"/>
    </row>
    <row r="13" spans="1:32" ht="120" x14ac:dyDescent="0.25">
      <c r="A13" s="26">
        <v>1</v>
      </c>
      <c r="B13" s="375" t="s">
        <v>298</v>
      </c>
      <c r="C13" s="10" t="s">
        <v>297</v>
      </c>
      <c r="D13" s="10">
        <v>3448057936</v>
      </c>
      <c r="E13" s="10">
        <v>1000108565</v>
      </c>
      <c r="F13" s="76" t="s">
        <v>299</v>
      </c>
      <c r="G13" s="19">
        <v>8000675279</v>
      </c>
      <c r="H13" s="75">
        <v>45572</v>
      </c>
      <c r="I13" s="14" t="s">
        <v>300</v>
      </c>
      <c r="J13" s="14" t="s">
        <v>192</v>
      </c>
      <c r="K13" s="44">
        <v>16806767.039999999</v>
      </c>
      <c r="L13" s="44"/>
      <c r="M13" s="14" t="s">
        <v>283</v>
      </c>
      <c r="N13" s="14" t="s">
        <v>301</v>
      </c>
      <c r="O13" s="14"/>
      <c r="P13" s="10" t="s">
        <v>302</v>
      </c>
      <c r="Q13" s="10" t="s">
        <v>168</v>
      </c>
      <c r="R13" s="10" t="s">
        <v>54</v>
      </c>
      <c r="S13" s="44">
        <v>5237592.5999999996</v>
      </c>
      <c r="T13" s="44">
        <v>5237592.5999999996</v>
      </c>
      <c r="U13" s="44">
        <v>2990000</v>
      </c>
      <c r="V13" s="47"/>
      <c r="W13" s="47"/>
      <c r="X13" s="47"/>
      <c r="Y13" s="47"/>
      <c r="Z13" s="47"/>
      <c r="AA13" s="51" t="s">
        <v>353</v>
      </c>
      <c r="AB13" s="48"/>
      <c r="AC13" s="48"/>
      <c r="AD13" s="48"/>
      <c r="AE13" s="48"/>
      <c r="AF13" s="63" t="s">
        <v>615</v>
      </c>
    </row>
    <row r="14" spans="1:32" ht="75" x14ac:dyDescent="0.25">
      <c r="A14" s="26"/>
      <c r="B14" s="375" t="s">
        <v>298</v>
      </c>
      <c r="C14" s="10" t="s">
        <v>297</v>
      </c>
      <c r="D14" s="10">
        <v>3448057936</v>
      </c>
      <c r="E14" s="10">
        <v>1000108565</v>
      </c>
      <c r="F14" s="76" t="s">
        <v>435</v>
      </c>
      <c r="G14" s="19">
        <v>9000531374</v>
      </c>
      <c r="H14" s="75">
        <v>45735</v>
      </c>
      <c r="I14" s="14" t="s">
        <v>436</v>
      </c>
      <c r="J14" s="14" t="s">
        <v>192</v>
      </c>
      <c r="K14" s="139">
        <v>-11569174.439999999</v>
      </c>
      <c r="L14" s="44"/>
      <c r="M14" s="14" t="s">
        <v>11</v>
      </c>
      <c r="N14" s="14" t="s">
        <v>433</v>
      </c>
      <c r="O14" s="14"/>
      <c r="P14" s="10" t="s">
        <v>437</v>
      </c>
      <c r="Q14" s="10" t="s">
        <v>168</v>
      </c>
      <c r="R14" s="10" t="s">
        <v>54</v>
      </c>
      <c r="S14" s="10"/>
      <c r="T14" s="14"/>
      <c r="U14" s="14"/>
      <c r="V14" s="47"/>
      <c r="W14" s="47"/>
      <c r="X14" s="47"/>
      <c r="Y14" s="47"/>
      <c r="Z14" s="47"/>
      <c r="AA14" s="51"/>
      <c r="AB14" s="48"/>
      <c r="AC14" s="48"/>
      <c r="AD14" s="48"/>
      <c r="AE14" s="48"/>
      <c r="AF14" s="48"/>
    </row>
    <row r="15" spans="1:32" s="160" customFormat="1" x14ac:dyDescent="0.25">
      <c r="A15" s="8"/>
      <c r="B15" s="374"/>
      <c r="C15" s="24"/>
      <c r="D15" s="21"/>
      <c r="E15" s="8"/>
      <c r="F15" s="12"/>
      <c r="G15" s="34"/>
      <c r="H15" s="9"/>
      <c r="I15" s="5"/>
      <c r="J15" s="5"/>
      <c r="K15" s="40"/>
      <c r="L15" s="40">
        <f>SUBTOTAL(9,K13:K15)</f>
        <v>5237592.5999999996</v>
      </c>
      <c r="M15" s="6"/>
      <c r="N15" s="5"/>
      <c r="O15" s="6"/>
      <c r="P15" s="5"/>
      <c r="Q15" s="9"/>
      <c r="R15" s="9"/>
      <c r="S15" s="8" t="s">
        <v>37</v>
      </c>
      <c r="T15" s="6" t="s">
        <v>37</v>
      </c>
      <c r="U15" s="6" t="s">
        <v>37</v>
      </c>
      <c r="V15" s="35"/>
      <c r="W15" s="35"/>
      <c r="X15" s="35"/>
      <c r="Y15" s="33"/>
      <c r="Z15" s="33"/>
      <c r="AA15" s="52"/>
      <c r="AB15" s="53"/>
      <c r="AC15" s="52"/>
      <c r="AD15" s="52"/>
      <c r="AE15" s="52"/>
      <c r="AF15" s="52"/>
    </row>
    <row r="16" spans="1:32" ht="105" x14ac:dyDescent="0.25">
      <c r="A16" s="26">
        <v>1</v>
      </c>
      <c r="B16" s="375" t="s">
        <v>194</v>
      </c>
      <c r="C16" s="10" t="s">
        <v>304</v>
      </c>
      <c r="D16" s="10">
        <v>2464039386</v>
      </c>
      <c r="E16" s="10">
        <v>1000028454</v>
      </c>
      <c r="F16" s="76" t="s">
        <v>305</v>
      </c>
      <c r="G16" s="19">
        <v>8000673707</v>
      </c>
      <c r="H16" s="75">
        <v>45569</v>
      </c>
      <c r="I16" s="14" t="s">
        <v>306</v>
      </c>
      <c r="J16" s="14" t="s">
        <v>195</v>
      </c>
      <c r="K16" s="44">
        <v>56836484.43</v>
      </c>
      <c r="L16" s="44"/>
      <c r="M16" s="14" t="s">
        <v>11</v>
      </c>
      <c r="N16" s="14" t="s">
        <v>35</v>
      </c>
      <c r="O16" s="14"/>
      <c r="P16" s="10" t="s">
        <v>307</v>
      </c>
      <c r="Q16" s="10" t="s">
        <v>168</v>
      </c>
      <c r="R16" s="10" t="s">
        <v>39</v>
      </c>
      <c r="S16" s="44">
        <v>54921377.869999997</v>
      </c>
      <c r="T16" s="44">
        <v>54921377.869999997</v>
      </c>
      <c r="U16" s="44" t="s">
        <v>613</v>
      </c>
      <c r="V16" s="14"/>
      <c r="W16" s="47"/>
      <c r="X16" s="47"/>
      <c r="Y16" s="47"/>
      <c r="Z16" s="47"/>
      <c r="AA16" s="63" t="s">
        <v>335</v>
      </c>
      <c r="AB16" s="48"/>
      <c r="AC16" s="48"/>
      <c r="AD16" s="48"/>
      <c r="AE16" s="63" t="s">
        <v>605</v>
      </c>
      <c r="AF16" s="63" t="s">
        <v>614</v>
      </c>
    </row>
    <row r="17" spans="1:36" ht="90" x14ac:dyDescent="0.25">
      <c r="A17" s="26"/>
      <c r="B17" s="375" t="s">
        <v>194</v>
      </c>
      <c r="C17" s="10" t="s">
        <v>304</v>
      </c>
      <c r="D17" s="10">
        <v>2464039386</v>
      </c>
      <c r="E17" s="10">
        <v>1000028454</v>
      </c>
      <c r="F17" s="76" t="s">
        <v>548</v>
      </c>
      <c r="G17" s="19">
        <v>9000533246</v>
      </c>
      <c r="H17" s="75" t="s">
        <v>549</v>
      </c>
      <c r="I17" s="14" t="s">
        <v>550</v>
      </c>
      <c r="J17" s="14" t="s">
        <v>195</v>
      </c>
      <c r="K17" s="44">
        <v>54921377.869999997</v>
      </c>
      <c r="L17" s="44"/>
      <c r="M17" s="14" t="s">
        <v>11</v>
      </c>
      <c r="N17" s="14"/>
      <c r="O17" s="14"/>
      <c r="P17" s="10" t="s">
        <v>551</v>
      </c>
      <c r="Q17" s="10" t="s">
        <v>168</v>
      </c>
      <c r="R17" s="10" t="s">
        <v>39</v>
      </c>
      <c r="S17" s="10"/>
      <c r="T17" s="14"/>
      <c r="U17" s="14"/>
      <c r="V17" s="47"/>
      <c r="W17" s="47"/>
      <c r="X17" s="47"/>
      <c r="Y17" s="47"/>
      <c r="Z17" s="47"/>
      <c r="AA17" s="63"/>
      <c r="AB17" s="48"/>
      <c r="AC17" s="48"/>
      <c r="AD17" s="48"/>
      <c r="AE17" s="48"/>
      <c r="AF17" s="48"/>
    </row>
    <row r="18" spans="1:36" s="160" customFormat="1" x14ac:dyDescent="0.25">
      <c r="A18" s="8"/>
      <c r="B18" s="374"/>
      <c r="C18" s="24"/>
      <c r="D18" s="21"/>
      <c r="E18" s="8"/>
      <c r="F18" s="12"/>
      <c r="G18" s="34"/>
      <c r="H18" s="9"/>
      <c r="I18" s="5"/>
      <c r="J18" s="5"/>
      <c r="K18" s="40"/>
      <c r="L18" s="40">
        <f>K17</f>
        <v>54921377.869999997</v>
      </c>
      <c r="M18" s="6"/>
      <c r="N18" s="5"/>
      <c r="O18" s="6"/>
      <c r="P18" s="5"/>
      <c r="Q18" s="9"/>
      <c r="R18" s="9"/>
      <c r="S18" s="8" t="s">
        <v>37</v>
      </c>
      <c r="T18" s="6" t="s">
        <v>37</v>
      </c>
      <c r="U18" s="6" t="s">
        <v>37</v>
      </c>
      <c r="V18" s="35"/>
      <c r="W18" s="35"/>
      <c r="X18" s="35"/>
      <c r="Y18" s="33"/>
      <c r="Z18" s="33"/>
      <c r="AA18" s="52"/>
      <c r="AB18" s="53"/>
      <c r="AC18" s="52"/>
      <c r="AD18" s="52"/>
      <c r="AE18" s="52"/>
      <c r="AF18" s="52"/>
    </row>
    <row r="19" spans="1:36" ht="90" x14ac:dyDescent="0.25">
      <c r="A19" s="26">
        <v>1</v>
      </c>
      <c r="B19" s="375" t="s">
        <v>323</v>
      </c>
      <c r="C19" s="10" t="s">
        <v>324</v>
      </c>
      <c r="D19" s="10">
        <v>2703097800</v>
      </c>
      <c r="E19" s="10">
        <v>1000105103</v>
      </c>
      <c r="F19" s="76" t="s">
        <v>325</v>
      </c>
      <c r="G19" s="19">
        <v>8000673766</v>
      </c>
      <c r="H19" s="75">
        <v>45589</v>
      </c>
      <c r="I19" s="14" t="s">
        <v>336</v>
      </c>
      <c r="J19" s="14" t="s">
        <v>192</v>
      </c>
      <c r="K19" s="44">
        <v>41244648.100000001</v>
      </c>
      <c r="L19" s="44"/>
      <c r="M19" s="14" t="s">
        <v>326</v>
      </c>
      <c r="N19" s="14" t="s">
        <v>327</v>
      </c>
      <c r="O19" s="14"/>
      <c r="P19" s="10" t="s">
        <v>328</v>
      </c>
      <c r="Q19" s="10" t="s">
        <v>168</v>
      </c>
      <c r="R19" s="10" t="s">
        <v>532</v>
      </c>
      <c r="S19" s="44">
        <v>27584352.359999999</v>
      </c>
      <c r="T19" s="44">
        <v>27584352.359999999</v>
      </c>
      <c r="U19" s="44">
        <v>0</v>
      </c>
      <c r="V19" s="14"/>
      <c r="W19" s="47"/>
      <c r="X19" s="47"/>
      <c r="Y19" s="47"/>
      <c r="Z19" s="47"/>
      <c r="AA19" s="63">
        <v>45650</v>
      </c>
      <c r="AB19" s="48" t="s">
        <v>403</v>
      </c>
      <c r="AC19" s="48"/>
      <c r="AD19" s="48" t="s">
        <v>603</v>
      </c>
      <c r="AE19" s="63"/>
      <c r="AF19" s="63" t="s">
        <v>4464</v>
      </c>
    </row>
    <row r="20" spans="1:36" ht="75" x14ac:dyDescent="0.25">
      <c r="A20" s="26"/>
      <c r="B20" s="375" t="s">
        <v>323</v>
      </c>
      <c r="C20" s="10" t="s">
        <v>324</v>
      </c>
      <c r="D20" s="10">
        <v>2703097800</v>
      </c>
      <c r="E20" s="10">
        <v>1000105103</v>
      </c>
      <c r="F20" s="76" t="s">
        <v>399</v>
      </c>
      <c r="G20" s="19">
        <v>9000515732</v>
      </c>
      <c r="H20" s="75">
        <v>45674</v>
      </c>
      <c r="I20" s="14" t="s">
        <v>400</v>
      </c>
      <c r="J20" s="14" t="s">
        <v>192</v>
      </c>
      <c r="K20" s="44">
        <v>0</v>
      </c>
      <c r="L20" s="44"/>
      <c r="M20" s="14" t="s">
        <v>11</v>
      </c>
      <c r="N20" s="14" t="s">
        <v>401</v>
      </c>
      <c r="O20" s="14"/>
      <c r="P20" s="10" t="s">
        <v>402</v>
      </c>
      <c r="Q20" s="10" t="s">
        <v>168</v>
      </c>
      <c r="R20" s="10" t="s">
        <v>529</v>
      </c>
      <c r="S20" s="44"/>
      <c r="T20" s="44"/>
      <c r="U20" s="44"/>
      <c r="V20" s="14"/>
      <c r="W20" s="47"/>
      <c r="X20" s="47"/>
      <c r="Y20" s="47"/>
      <c r="Z20" s="47"/>
      <c r="AA20" s="63"/>
      <c r="AB20" s="48" t="s">
        <v>404</v>
      </c>
      <c r="AC20" s="48"/>
      <c r="AD20" s="48"/>
      <c r="AE20" s="63"/>
      <c r="AF20" s="63"/>
    </row>
    <row r="21" spans="1:36" ht="17.25" customHeight="1" x14ac:dyDescent="0.25">
      <c r="A21" s="8"/>
      <c r="B21" s="237"/>
      <c r="C21" s="9"/>
      <c r="D21" s="9"/>
      <c r="E21" s="8"/>
      <c r="F21" s="8"/>
      <c r="G21" s="36"/>
      <c r="H21" s="22"/>
      <c r="I21" s="9"/>
      <c r="J21" s="13"/>
      <c r="K21" s="13"/>
      <c r="L21" s="41">
        <f>K19+L19</f>
        <v>41244648.100000001</v>
      </c>
      <c r="M21" s="41"/>
      <c r="N21" s="15"/>
      <c r="O21" s="13"/>
      <c r="P21" s="15"/>
      <c r="Q21" s="9"/>
      <c r="R21" s="9"/>
      <c r="S21" s="9" t="s">
        <v>37</v>
      </c>
      <c r="T21" s="8" t="s">
        <v>37</v>
      </c>
      <c r="U21" s="15" t="s">
        <v>37</v>
      </c>
      <c r="V21" s="15"/>
      <c r="W21" s="33"/>
      <c r="X21" s="33"/>
      <c r="Y21" s="33"/>
      <c r="Z21" s="33"/>
      <c r="AA21" s="33"/>
      <c r="AB21" s="52"/>
      <c r="AC21" s="27"/>
      <c r="AD21" s="27"/>
      <c r="AE21" s="27"/>
      <c r="AF21" s="27"/>
    </row>
    <row r="22" spans="1:36" s="159" customFormat="1" ht="60" x14ac:dyDescent="0.25">
      <c r="A22" s="48">
        <v>1</v>
      </c>
      <c r="B22" s="375" t="s">
        <v>224</v>
      </c>
      <c r="C22" s="10" t="s">
        <v>225</v>
      </c>
      <c r="D22" s="117" t="s">
        <v>226</v>
      </c>
      <c r="E22" s="10">
        <v>2000073815</v>
      </c>
      <c r="F22" s="397" t="s">
        <v>658</v>
      </c>
      <c r="G22" s="10">
        <v>8000744848</v>
      </c>
      <c r="H22" s="75">
        <v>45832</v>
      </c>
      <c r="I22" s="14" t="s">
        <v>659</v>
      </c>
      <c r="J22" s="14" t="s">
        <v>653</v>
      </c>
      <c r="K22" s="44">
        <v>2500000</v>
      </c>
      <c r="L22" s="44"/>
      <c r="M22" s="14" t="s">
        <v>660</v>
      </c>
      <c r="N22" s="14" t="s">
        <v>661</v>
      </c>
      <c r="O22" s="14"/>
      <c r="P22" s="10" t="s">
        <v>227</v>
      </c>
      <c r="Q22" s="10" t="s">
        <v>13</v>
      </c>
      <c r="R22" s="10" t="s">
        <v>662</v>
      </c>
      <c r="S22" s="80">
        <v>2500000</v>
      </c>
      <c r="T22" s="80">
        <v>2500000</v>
      </c>
      <c r="U22" s="80">
        <v>750000</v>
      </c>
      <c r="V22" s="47"/>
      <c r="W22" s="47"/>
      <c r="X22" s="47"/>
      <c r="Y22" s="47"/>
      <c r="Z22" s="47"/>
      <c r="AA22" s="51"/>
      <c r="AB22" s="95" t="s">
        <v>663</v>
      </c>
      <c r="AC22" s="111"/>
      <c r="AD22" s="48"/>
      <c r="AE22" s="48"/>
      <c r="AF22" s="63" t="s">
        <v>601</v>
      </c>
    </row>
    <row r="23" spans="1:36" x14ac:dyDescent="0.25">
      <c r="A23" s="8"/>
      <c r="B23" s="237"/>
      <c r="C23" s="4"/>
      <c r="D23" s="4"/>
      <c r="E23" s="4"/>
      <c r="F23" s="37"/>
      <c r="G23" s="4"/>
      <c r="H23" s="56"/>
      <c r="I23" s="15"/>
      <c r="J23" s="15"/>
      <c r="K23" s="55"/>
      <c r="L23" s="55">
        <f>K22+L22</f>
        <v>2500000</v>
      </c>
      <c r="M23" s="17"/>
      <c r="N23" s="15"/>
      <c r="O23" s="15"/>
      <c r="P23" s="8"/>
      <c r="Q23" s="4"/>
      <c r="R23" s="4"/>
      <c r="S23" s="55"/>
      <c r="T23" s="187"/>
      <c r="U23" s="187"/>
      <c r="V23" s="33"/>
      <c r="W23" s="33"/>
      <c r="X23" s="33"/>
      <c r="Y23" s="33"/>
      <c r="Z23" s="33"/>
      <c r="AA23" s="52"/>
      <c r="AB23" s="27"/>
      <c r="AC23" s="27"/>
      <c r="AD23" s="27"/>
      <c r="AE23" s="27"/>
      <c r="AF23" s="27"/>
    </row>
    <row r="24" spans="1:36" s="49" customFormat="1" ht="90" x14ac:dyDescent="0.25">
      <c r="A24" s="48">
        <v>1</v>
      </c>
      <c r="B24" s="375" t="s">
        <v>224</v>
      </c>
      <c r="C24" s="10" t="s">
        <v>225</v>
      </c>
      <c r="D24" s="117" t="s">
        <v>226</v>
      </c>
      <c r="E24" s="10">
        <v>2000073815</v>
      </c>
      <c r="F24" s="155" t="s">
        <v>715</v>
      </c>
      <c r="G24" s="10">
        <v>8000750701</v>
      </c>
      <c r="H24" s="75">
        <v>45839</v>
      </c>
      <c r="I24" s="14" t="s">
        <v>716</v>
      </c>
      <c r="J24" s="14" t="s">
        <v>653</v>
      </c>
      <c r="K24" s="44">
        <v>3046000</v>
      </c>
      <c r="L24" s="44"/>
      <c r="M24" s="14" t="s">
        <v>717</v>
      </c>
      <c r="N24" s="14" t="s">
        <v>718</v>
      </c>
      <c r="O24" s="14"/>
      <c r="P24" s="10" t="s">
        <v>719</v>
      </c>
      <c r="Q24" s="10" t="s">
        <v>79</v>
      </c>
      <c r="R24" s="10" t="s">
        <v>720</v>
      </c>
      <c r="S24" s="80">
        <v>3046000</v>
      </c>
      <c r="T24" s="80">
        <v>3046000</v>
      </c>
      <c r="U24" s="80">
        <v>913800</v>
      </c>
      <c r="V24" s="47"/>
      <c r="W24" s="47"/>
      <c r="X24" s="47"/>
      <c r="Y24" s="47"/>
      <c r="Z24" s="47"/>
      <c r="AA24" s="51"/>
      <c r="AB24" s="48" t="s">
        <v>721</v>
      </c>
      <c r="AC24" s="111"/>
      <c r="AD24" s="48"/>
      <c r="AE24" s="48"/>
      <c r="AF24" s="63" t="s">
        <v>601</v>
      </c>
      <c r="AJ24" s="486" t="s">
        <v>4787</v>
      </c>
    </row>
    <row r="25" spans="1:36" s="23" customFormat="1" x14ac:dyDescent="0.25">
      <c r="A25" s="8"/>
      <c r="B25" s="237"/>
      <c r="C25" s="4"/>
      <c r="D25" s="4"/>
      <c r="E25" s="4"/>
      <c r="F25" s="37"/>
      <c r="G25" s="4"/>
      <c r="H25" s="4"/>
      <c r="I25" s="15"/>
      <c r="J25" s="15"/>
      <c r="K25" s="55"/>
      <c r="L25" s="55">
        <f>K24+L24</f>
        <v>3046000</v>
      </c>
      <c r="M25" s="17"/>
      <c r="N25" s="15"/>
      <c r="O25" s="15"/>
      <c r="P25" s="8"/>
      <c r="Q25" s="4"/>
      <c r="R25" s="4"/>
      <c r="S25" s="4"/>
      <c r="T25" s="15"/>
      <c r="U25" s="15"/>
      <c r="V25" s="33"/>
      <c r="W25" s="33"/>
      <c r="X25" s="33"/>
      <c r="Y25" s="33"/>
      <c r="Z25" s="33"/>
      <c r="AA25" s="52"/>
      <c r="AB25" s="27"/>
      <c r="AC25" s="27"/>
      <c r="AD25" s="27"/>
      <c r="AE25" s="27"/>
      <c r="AF25" s="27"/>
    </row>
    <row r="26" spans="1:36" s="49" customFormat="1" ht="60" x14ac:dyDescent="0.25">
      <c r="A26" s="48">
        <v>1</v>
      </c>
      <c r="B26" s="375" t="s">
        <v>45</v>
      </c>
      <c r="C26" s="10" t="s">
        <v>97</v>
      </c>
      <c r="D26" s="72">
        <v>2722052259</v>
      </c>
      <c r="E26" s="72">
        <v>1000105100</v>
      </c>
      <c r="F26" s="76" t="s">
        <v>361</v>
      </c>
      <c r="G26" s="78">
        <v>8000697742</v>
      </c>
      <c r="H26" s="72" t="s">
        <v>362</v>
      </c>
      <c r="I26" s="14" t="s">
        <v>363</v>
      </c>
      <c r="J26" s="14" t="s">
        <v>162</v>
      </c>
      <c r="K26" s="80">
        <v>4024368.78</v>
      </c>
      <c r="L26" s="80"/>
      <c r="M26" s="14" t="s">
        <v>11</v>
      </c>
      <c r="N26" s="14" t="s">
        <v>364</v>
      </c>
      <c r="O26" s="14"/>
      <c r="P26" s="10" t="s">
        <v>365</v>
      </c>
      <c r="Q26" s="10" t="s">
        <v>13</v>
      </c>
      <c r="R26" s="10" t="s">
        <v>522</v>
      </c>
      <c r="S26" s="80">
        <v>12068482.810000001</v>
      </c>
      <c r="T26" s="80">
        <v>12068482.810000001</v>
      </c>
      <c r="U26" s="80">
        <v>0</v>
      </c>
      <c r="V26" s="47"/>
      <c r="W26" s="47"/>
      <c r="X26" s="47"/>
      <c r="Y26" s="47"/>
      <c r="Z26" s="47"/>
      <c r="AA26" s="63"/>
      <c r="AB26" s="48"/>
      <c r="AC26" s="48"/>
      <c r="AD26" s="48"/>
      <c r="AE26" s="48"/>
      <c r="AF26" s="51" t="s">
        <v>601</v>
      </c>
    </row>
    <row r="27" spans="1:36" s="49" customFormat="1" ht="60" x14ac:dyDescent="0.25">
      <c r="A27" s="48"/>
      <c r="B27" s="375" t="s">
        <v>45</v>
      </c>
      <c r="C27" s="10" t="s">
        <v>97</v>
      </c>
      <c r="D27" s="72">
        <v>2722052259</v>
      </c>
      <c r="E27" s="72">
        <v>1000105100</v>
      </c>
      <c r="F27" s="76" t="s">
        <v>424</v>
      </c>
      <c r="G27" s="78">
        <v>9000533054</v>
      </c>
      <c r="H27" s="156">
        <v>45742</v>
      </c>
      <c r="I27" s="14" t="s">
        <v>425</v>
      </c>
      <c r="J27" s="14" t="s">
        <v>162</v>
      </c>
      <c r="K27" s="80">
        <v>8385176.1200000001</v>
      </c>
      <c r="L27" s="80"/>
      <c r="M27" s="14" t="s">
        <v>11</v>
      </c>
      <c r="N27" s="14" t="s">
        <v>426</v>
      </c>
      <c r="O27" s="14"/>
      <c r="P27" s="10" t="s">
        <v>349</v>
      </c>
      <c r="Q27" s="10" t="s">
        <v>168</v>
      </c>
      <c r="R27" s="10" t="s">
        <v>522</v>
      </c>
      <c r="S27" s="72"/>
      <c r="T27" s="14"/>
      <c r="U27" s="14"/>
      <c r="V27" s="47"/>
      <c r="W27" s="47"/>
      <c r="X27" s="47"/>
      <c r="Y27" s="47"/>
      <c r="Z27" s="47"/>
      <c r="AA27" s="63"/>
      <c r="AB27" s="48"/>
      <c r="AC27" s="48"/>
      <c r="AD27" s="48"/>
      <c r="AE27" s="48"/>
      <c r="AF27" s="47"/>
    </row>
    <row r="28" spans="1:36" s="2" customFormat="1" x14ac:dyDescent="0.25">
      <c r="A28" s="8"/>
      <c r="B28" s="237"/>
      <c r="C28" s="4"/>
      <c r="D28" s="4"/>
      <c r="E28" s="4"/>
      <c r="F28" s="37"/>
      <c r="G28" s="30"/>
      <c r="H28" s="4"/>
      <c r="I28" s="15"/>
      <c r="J28" s="15"/>
      <c r="K28" s="55"/>
      <c r="L28" s="55">
        <f>SUM(K26:K28)</f>
        <v>12409544.9</v>
      </c>
      <c r="M28" s="17"/>
      <c r="N28" s="15"/>
      <c r="O28" s="15"/>
      <c r="P28" s="8"/>
      <c r="Q28" s="4"/>
      <c r="R28" s="4"/>
      <c r="S28" s="4"/>
      <c r="T28" s="15"/>
      <c r="U28" s="15"/>
      <c r="V28" s="33"/>
      <c r="W28" s="33"/>
      <c r="X28" s="33"/>
      <c r="Y28" s="33"/>
      <c r="Z28" s="33"/>
      <c r="AA28" s="52"/>
      <c r="AB28" s="27"/>
      <c r="AC28" s="27"/>
      <c r="AD28" s="27"/>
      <c r="AE28" s="27"/>
      <c r="AF28" s="33"/>
    </row>
    <row r="29" spans="1:36" s="49" customFormat="1" ht="105.75" customHeight="1" x14ac:dyDescent="0.25">
      <c r="A29" s="48">
        <v>1</v>
      </c>
      <c r="B29" s="375" t="s">
        <v>131</v>
      </c>
      <c r="C29" s="10" t="s">
        <v>463</v>
      </c>
      <c r="D29" s="72">
        <v>5042120323</v>
      </c>
      <c r="E29" s="72">
        <v>1000101535</v>
      </c>
      <c r="F29" s="76" t="s">
        <v>464</v>
      </c>
      <c r="G29" s="78">
        <v>8000728732</v>
      </c>
      <c r="H29" s="156">
        <v>45768</v>
      </c>
      <c r="I29" s="14" t="s">
        <v>465</v>
      </c>
      <c r="J29" s="14" t="s">
        <v>195</v>
      </c>
      <c r="K29" s="80">
        <v>34340376.939999998</v>
      </c>
      <c r="L29" s="80"/>
      <c r="M29" s="81" t="s">
        <v>11</v>
      </c>
      <c r="N29" s="14" t="s">
        <v>466</v>
      </c>
      <c r="O29" s="14"/>
      <c r="P29" s="10" t="s">
        <v>467</v>
      </c>
      <c r="Q29" s="72" t="s">
        <v>168</v>
      </c>
      <c r="R29" s="72" t="s">
        <v>105</v>
      </c>
      <c r="S29" s="80">
        <v>34340376.939999998</v>
      </c>
      <c r="T29" s="80">
        <v>34340376.939999998</v>
      </c>
      <c r="U29" s="80">
        <v>0</v>
      </c>
      <c r="V29" s="47"/>
      <c r="W29" s="47"/>
      <c r="X29" s="47"/>
      <c r="Y29" s="47"/>
      <c r="Z29" s="47"/>
      <c r="AA29" s="63"/>
      <c r="AB29" s="48" t="s">
        <v>237</v>
      </c>
      <c r="AC29" s="48"/>
      <c r="AD29" s="48"/>
      <c r="AE29" s="48"/>
      <c r="AF29" s="51" t="s">
        <v>601</v>
      </c>
    </row>
    <row r="30" spans="1:36" s="2" customFormat="1" x14ac:dyDescent="0.25">
      <c r="A30" s="8"/>
      <c r="B30" s="237"/>
      <c r="C30" s="4"/>
      <c r="D30" s="4"/>
      <c r="E30" s="4"/>
      <c r="F30" s="37"/>
      <c r="G30" s="30"/>
      <c r="H30" s="4"/>
      <c r="I30" s="15"/>
      <c r="J30" s="15"/>
      <c r="K30" s="55"/>
      <c r="L30" s="55">
        <v>34340376.939999998</v>
      </c>
      <c r="M30" s="17"/>
      <c r="N30" s="15"/>
      <c r="O30" s="15"/>
      <c r="P30" s="8"/>
      <c r="Q30" s="4"/>
      <c r="R30" s="4"/>
      <c r="S30" s="4"/>
      <c r="T30" s="15"/>
      <c r="U30" s="15"/>
      <c r="V30" s="33"/>
      <c r="W30" s="33"/>
      <c r="X30" s="33"/>
      <c r="Y30" s="33"/>
      <c r="Z30" s="33"/>
      <c r="AA30" s="52"/>
      <c r="AB30" s="27"/>
      <c r="AC30" s="27"/>
      <c r="AD30" s="27"/>
      <c r="AE30" s="27"/>
      <c r="AF30" s="33"/>
    </row>
    <row r="31" spans="1:36" s="49" customFormat="1" ht="75" x14ac:dyDescent="0.25">
      <c r="A31" s="48">
        <v>1</v>
      </c>
      <c r="B31" s="375" t="s">
        <v>131</v>
      </c>
      <c r="C31" s="10" t="s">
        <v>463</v>
      </c>
      <c r="D31" s="72">
        <v>5042120323</v>
      </c>
      <c r="E31" s="72">
        <v>1000101535</v>
      </c>
      <c r="F31" s="76" t="s">
        <v>490</v>
      </c>
      <c r="G31" s="72">
        <v>8000731698</v>
      </c>
      <c r="H31" s="156">
        <v>45772</v>
      </c>
      <c r="I31" s="14" t="s">
        <v>491</v>
      </c>
      <c r="J31" s="14" t="s">
        <v>195</v>
      </c>
      <c r="K31" s="80">
        <v>8809551.7300000004</v>
      </c>
      <c r="L31" s="80"/>
      <c r="M31" s="81" t="s">
        <v>11</v>
      </c>
      <c r="N31" s="14" t="s">
        <v>492</v>
      </c>
      <c r="O31" s="14"/>
      <c r="P31" s="10" t="s">
        <v>493</v>
      </c>
      <c r="Q31" s="72" t="s">
        <v>168</v>
      </c>
      <c r="R31" s="72" t="s">
        <v>105</v>
      </c>
      <c r="S31" s="80">
        <v>8809551.7300000004</v>
      </c>
      <c r="T31" s="80">
        <v>8809551.7300000004</v>
      </c>
      <c r="U31" s="80">
        <v>0</v>
      </c>
      <c r="V31" s="47"/>
      <c r="W31" s="47"/>
      <c r="X31" s="47"/>
      <c r="Y31" s="47"/>
      <c r="Z31" s="47"/>
      <c r="AA31" s="63"/>
      <c r="AB31" s="95" t="s">
        <v>237</v>
      </c>
      <c r="AC31" s="48"/>
      <c r="AD31" s="48"/>
      <c r="AE31" s="48"/>
      <c r="AF31" s="51" t="s">
        <v>601</v>
      </c>
    </row>
    <row r="32" spans="1:36" s="2" customFormat="1" x14ac:dyDescent="0.25">
      <c r="A32" s="8"/>
      <c r="B32" s="237"/>
      <c r="C32" s="4"/>
      <c r="D32" s="4"/>
      <c r="E32" s="4"/>
      <c r="F32" s="37"/>
      <c r="G32" s="30"/>
      <c r="H32" s="4"/>
      <c r="I32" s="15"/>
      <c r="J32" s="15"/>
      <c r="K32" s="55"/>
      <c r="L32" s="55">
        <v>8809551.7300000004</v>
      </c>
      <c r="M32" s="17"/>
      <c r="N32" s="15"/>
      <c r="O32" s="15"/>
      <c r="P32" s="8"/>
      <c r="Q32" s="4"/>
      <c r="R32" s="4"/>
      <c r="S32" s="4"/>
      <c r="T32" s="15"/>
      <c r="U32" s="15"/>
      <c r="V32" s="33"/>
      <c r="W32" s="33"/>
      <c r="X32" s="33"/>
      <c r="Y32" s="69"/>
      <c r="Z32" s="69"/>
      <c r="AA32" s="70"/>
      <c r="AB32" s="27"/>
      <c r="AC32" s="71"/>
      <c r="AD32" s="71"/>
      <c r="AE32" s="71"/>
      <c r="AF32" s="71"/>
    </row>
    <row r="33" spans="1:36" s="49" customFormat="1" ht="75" x14ac:dyDescent="0.25">
      <c r="A33" s="48">
        <v>1</v>
      </c>
      <c r="B33" s="375" t="s">
        <v>27</v>
      </c>
      <c r="C33" s="10" t="s">
        <v>28</v>
      </c>
      <c r="D33" s="72">
        <v>2453012311</v>
      </c>
      <c r="E33" s="72">
        <v>1000094590</v>
      </c>
      <c r="F33" s="76" t="s">
        <v>56</v>
      </c>
      <c r="G33" s="72">
        <v>8000509554</v>
      </c>
      <c r="H33" s="156">
        <v>44922</v>
      </c>
      <c r="I33" s="14" t="s">
        <v>57</v>
      </c>
      <c r="J33" s="14" t="s">
        <v>164</v>
      </c>
      <c r="K33" s="80">
        <v>51293480.399999999</v>
      </c>
      <c r="L33" s="80"/>
      <c r="M33" s="81" t="s">
        <v>11</v>
      </c>
      <c r="N33" s="14" t="s">
        <v>58</v>
      </c>
      <c r="O33" s="14" t="s">
        <v>167</v>
      </c>
      <c r="P33" s="10" t="s">
        <v>59</v>
      </c>
      <c r="Q33" s="72" t="s">
        <v>13</v>
      </c>
      <c r="R33" s="72" t="s">
        <v>60</v>
      </c>
      <c r="S33" s="80">
        <v>31264438.18</v>
      </c>
      <c r="T33" s="80">
        <v>31264438.18</v>
      </c>
      <c r="U33" s="80">
        <v>0</v>
      </c>
      <c r="V33" s="47"/>
      <c r="W33" s="47"/>
      <c r="X33" s="47"/>
      <c r="Y33" s="47"/>
      <c r="Z33" s="47"/>
      <c r="AA33" s="63"/>
      <c r="AB33" s="95"/>
      <c r="AC33" s="48"/>
      <c r="AD33" s="48" t="s">
        <v>589</v>
      </c>
      <c r="AE33" s="48"/>
      <c r="AF33" s="51" t="s">
        <v>601</v>
      </c>
    </row>
    <row r="34" spans="1:36" s="1" customFormat="1" ht="45.75" customHeight="1" x14ac:dyDescent="0.25">
      <c r="A34" s="378"/>
      <c r="B34" s="376" t="s">
        <v>27</v>
      </c>
      <c r="C34" s="96" t="s">
        <v>28</v>
      </c>
      <c r="D34" s="97">
        <v>2453012311</v>
      </c>
      <c r="E34" s="98">
        <v>1000094590</v>
      </c>
      <c r="F34" s="200" t="s">
        <v>927</v>
      </c>
      <c r="G34" s="201">
        <v>9000560693</v>
      </c>
      <c r="H34" s="99">
        <v>45882</v>
      </c>
      <c r="I34" s="104" t="s">
        <v>928</v>
      </c>
      <c r="J34" s="104" t="s">
        <v>929</v>
      </c>
      <c r="K34" s="202">
        <v>-20029042.219999999</v>
      </c>
      <c r="L34" s="105"/>
      <c r="M34" s="104" t="s">
        <v>11</v>
      </c>
      <c r="N34" s="104"/>
      <c r="O34" s="203"/>
      <c r="P34" s="104" t="s">
        <v>930</v>
      </c>
      <c r="Q34" s="98" t="s">
        <v>168</v>
      </c>
      <c r="R34" s="98" t="s">
        <v>39</v>
      </c>
      <c r="S34" s="106"/>
      <c r="T34" s="106"/>
      <c r="U34" s="106"/>
      <c r="V34" s="102"/>
      <c r="W34" s="102"/>
      <c r="X34" s="102"/>
      <c r="Y34" s="32"/>
      <c r="Z34" s="32"/>
      <c r="AA34" s="50"/>
      <c r="AB34" s="20"/>
      <c r="AC34" s="204"/>
      <c r="AD34" s="20"/>
      <c r="AE34" s="20"/>
      <c r="AF34" s="20"/>
    </row>
    <row r="35" spans="1:36" ht="17.25" customHeight="1" x14ac:dyDescent="0.25">
      <c r="A35" s="8"/>
      <c r="B35" s="237"/>
      <c r="C35" s="9"/>
      <c r="D35" s="9"/>
      <c r="E35" s="8"/>
      <c r="F35" s="8"/>
      <c r="G35" s="36"/>
      <c r="H35" s="22"/>
      <c r="I35" s="9"/>
      <c r="J35" s="13"/>
      <c r="K35" s="13"/>
      <c r="L35" s="42">
        <f>SUM(K33:K34)</f>
        <v>31264438.18</v>
      </c>
      <c r="M35" s="42"/>
      <c r="N35" s="15"/>
      <c r="O35" s="15"/>
      <c r="P35" s="15"/>
      <c r="Q35" s="8"/>
      <c r="R35" s="8"/>
      <c r="S35" s="199">
        <f>L35-S33</f>
        <v>0</v>
      </c>
      <c r="T35" s="8"/>
      <c r="U35" s="15"/>
      <c r="V35" s="15"/>
      <c r="W35" s="33"/>
      <c r="X35" s="33"/>
      <c r="Y35" s="33"/>
      <c r="Z35" s="33"/>
      <c r="AA35" s="33"/>
      <c r="AB35" s="52"/>
      <c r="AC35" s="27"/>
      <c r="AD35" s="27"/>
      <c r="AE35" s="27"/>
      <c r="AF35" s="27"/>
    </row>
    <row r="36" spans="1:36" s="49" customFormat="1" ht="90" x14ac:dyDescent="0.25">
      <c r="A36" s="48">
        <v>1</v>
      </c>
      <c r="B36" s="375" t="s">
        <v>708</v>
      </c>
      <c r="C36" s="10" t="s">
        <v>709</v>
      </c>
      <c r="D36" s="72">
        <v>7702080289</v>
      </c>
      <c r="E36" s="72">
        <v>1000013747</v>
      </c>
      <c r="F36" s="76" t="s">
        <v>710</v>
      </c>
      <c r="G36" s="72">
        <v>8000755511</v>
      </c>
      <c r="H36" s="156">
        <v>45859</v>
      </c>
      <c r="I36" s="14" t="s">
        <v>711</v>
      </c>
      <c r="J36" s="14" t="s">
        <v>653</v>
      </c>
      <c r="K36" s="80">
        <v>3360000</v>
      </c>
      <c r="L36" s="80"/>
      <c r="M36" s="81" t="s">
        <v>11</v>
      </c>
      <c r="N36" s="14" t="s">
        <v>712</v>
      </c>
      <c r="O36" s="14"/>
      <c r="P36" s="10" t="s">
        <v>713</v>
      </c>
      <c r="Q36" s="72" t="s">
        <v>13</v>
      </c>
      <c r="R36" s="10" t="s">
        <v>662</v>
      </c>
      <c r="S36" s="80">
        <v>4620000</v>
      </c>
      <c r="T36" s="80">
        <v>3360000</v>
      </c>
      <c r="U36" s="80">
        <v>0</v>
      </c>
      <c r="V36" s="47"/>
      <c r="W36" s="47"/>
      <c r="X36" s="47"/>
      <c r="Y36" s="47"/>
      <c r="Z36" s="47"/>
      <c r="AA36" s="63"/>
      <c r="AB36" s="95" t="s">
        <v>714</v>
      </c>
      <c r="AC36" s="48"/>
      <c r="AD36" s="48"/>
      <c r="AE36" s="48"/>
      <c r="AF36" s="51" t="s">
        <v>601</v>
      </c>
    </row>
    <row r="37" spans="1:36" s="49" customFormat="1" ht="75" x14ac:dyDescent="0.25">
      <c r="A37" s="48"/>
      <c r="B37" s="375" t="s">
        <v>708</v>
      </c>
      <c r="C37" s="10" t="s">
        <v>709</v>
      </c>
      <c r="D37" s="72">
        <v>7702080289</v>
      </c>
      <c r="E37" s="72">
        <v>1000013747</v>
      </c>
      <c r="F37" s="76" t="s">
        <v>1117</v>
      </c>
      <c r="G37" s="78">
        <v>9000565163</v>
      </c>
      <c r="H37" s="156" t="s">
        <v>1118</v>
      </c>
      <c r="I37" s="14" t="s">
        <v>181</v>
      </c>
      <c r="J37" s="14" t="s">
        <v>653</v>
      </c>
      <c r="K37" s="80">
        <v>1260000</v>
      </c>
      <c r="L37" s="80"/>
      <c r="M37" s="81" t="s">
        <v>11</v>
      </c>
      <c r="N37" s="14" t="s">
        <v>1119</v>
      </c>
      <c r="O37" s="14"/>
      <c r="P37" s="10" t="s">
        <v>1120</v>
      </c>
      <c r="Q37" s="72" t="s">
        <v>168</v>
      </c>
      <c r="R37" s="10" t="s">
        <v>662</v>
      </c>
      <c r="S37" s="72"/>
      <c r="T37" s="14"/>
      <c r="U37" s="14"/>
      <c r="V37" s="14"/>
      <c r="W37" s="14"/>
      <c r="X37" s="14"/>
      <c r="Y37" s="14"/>
      <c r="Z37" s="14"/>
      <c r="AA37" s="14"/>
      <c r="AB37" s="14"/>
      <c r="AC37" s="14"/>
      <c r="AD37" s="14"/>
      <c r="AE37" s="14"/>
      <c r="AF37" s="51" t="s">
        <v>601</v>
      </c>
    </row>
    <row r="38" spans="1:36" s="159" customFormat="1" x14ac:dyDescent="0.25">
      <c r="A38" s="8"/>
      <c r="B38" s="237"/>
      <c r="C38" s="4"/>
      <c r="D38" s="4"/>
      <c r="E38" s="4"/>
      <c r="F38" s="37"/>
      <c r="G38" s="4"/>
      <c r="H38" s="4"/>
      <c r="I38" s="15"/>
      <c r="J38" s="15"/>
      <c r="K38" s="55"/>
      <c r="L38" s="55">
        <f>SUM(K36:K38)</f>
        <v>4620000</v>
      </c>
      <c r="M38" s="17"/>
      <c r="N38" s="15"/>
      <c r="O38" s="15"/>
      <c r="P38" s="8"/>
      <c r="Q38" s="4"/>
      <c r="R38" s="4"/>
      <c r="S38" s="55">
        <f>L38-S36</f>
        <v>0</v>
      </c>
      <c r="T38" s="15"/>
      <c r="U38" s="15"/>
      <c r="V38" s="33"/>
      <c r="W38" s="33"/>
      <c r="X38" s="33"/>
      <c r="Y38" s="33"/>
      <c r="Z38" s="33"/>
      <c r="AA38" s="52"/>
      <c r="AB38" s="52"/>
      <c r="AC38" s="27"/>
      <c r="AD38" s="27"/>
      <c r="AE38" s="27"/>
      <c r="AF38" s="33"/>
    </row>
    <row r="39" spans="1:36" s="49" customFormat="1" ht="120" x14ac:dyDescent="0.25">
      <c r="A39" s="48">
        <v>1</v>
      </c>
      <c r="B39" s="375" t="s">
        <v>480</v>
      </c>
      <c r="C39" s="10" t="s">
        <v>479</v>
      </c>
      <c r="D39" s="72">
        <v>2540165064</v>
      </c>
      <c r="E39" s="72">
        <v>1000156802</v>
      </c>
      <c r="F39" s="76" t="s">
        <v>481</v>
      </c>
      <c r="G39" s="72">
        <v>8000722462</v>
      </c>
      <c r="H39" s="156" t="s">
        <v>482</v>
      </c>
      <c r="I39" s="14" t="s">
        <v>483</v>
      </c>
      <c r="J39" s="14" t="s">
        <v>162</v>
      </c>
      <c r="K39" s="80">
        <v>8340000</v>
      </c>
      <c r="L39" s="80"/>
      <c r="M39" s="81" t="s">
        <v>11</v>
      </c>
      <c r="N39" s="14" t="s">
        <v>67</v>
      </c>
      <c r="O39" s="14"/>
      <c r="P39" s="10" t="s">
        <v>484</v>
      </c>
      <c r="Q39" s="72" t="s">
        <v>13</v>
      </c>
      <c r="R39" s="10" t="s">
        <v>129</v>
      </c>
      <c r="S39" s="80">
        <v>8340000</v>
      </c>
      <c r="T39" s="80">
        <v>8340000</v>
      </c>
      <c r="U39" s="80">
        <v>0</v>
      </c>
      <c r="V39" s="47"/>
      <c r="W39" s="47"/>
      <c r="X39" s="51"/>
      <c r="Y39" s="51" t="s">
        <v>807</v>
      </c>
      <c r="Z39" s="47" t="s">
        <v>808</v>
      </c>
      <c r="AA39" s="63" t="s">
        <v>809</v>
      </c>
      <c r="AB39" s="95" t="s">
        <v>569</v>
      </c>
      <c r="AC39" s="48"/>
      <c r="AD39" s="48"/>
      <c r="AE39" s="48"/>
      <c r="AF39" s="51" t="s">
        <v>601</v>
      </c>
    </row>
    <row r="40" spans="1:36" s="49" customFormat="1" ht="60" x14ac:dyDescent="0.25">
      <c r="A40" s="48"/>
      <c r="B40" s="375" t="s">
        <v>480</v>
      </c>
      <c r="C40" s="10" t="s">
        <v>479</v>
      </c>
      <c r="D40" s="72">
        <v>2540165064</v>
      </c>
      <c r="E40" s="72">
        <v>1000156802</v>
      </c>
      <c r="F40" s="76" t="s">
        <v>566</v>
      </c>
      <c r="G40" s="72">
        <v>9000546906</v>
      </c>
      <c r="H40" s="156" t="s">
        <v>567</v>
      </c>
      <c r="I40" s="14" t="s">
        <v>72</v>
      </c>
      <c r="J40" s="14" t="s">
        <v>162</v>
      </c>
      <c r="K40" s="80"/>
      <c r="L40" s="80"/>
      <c r="M40" s="81"/>
      <c r="N40" s="14" t="s">
        <v>568</v>
      </c>
      <c r="O40" s="14"/>
      <c r="P40" s="10"/>
      <c r="Q40" s="72" t="s">
        <v>168</v>
      </c>
      <c r="R40" s="10" t="s">
        <v>129</v>
      </c>
      <c r="S40" s="80"/>
      <c r="T40" s="80"/>
      <c r="U40" s="80"/>
      <c r="V40" s="47"/>
      <c r="W40" s="47"/>
      <c r="X40" s="47"/>
      <c r="Y40" s="47"/>
      <c r="Z40" s="47"/>
      <c r="AA40" s="63"/>
      <c r="AB40" s="95"/>
      <c r="AC40" s="48"/>
      <c r="AD40" s="48"/>
      <c r="AE40" s="48"/>
      <c r="AF40" s="51"/>
    </row>
    <row r="41" spans="1:36" s="160" customFormat="1" x14ac:dyDescent="0.25">
      <c r="A41" s="8"/>
      <c r="B41" s="374"/>
      <c r="C41" s="24"/>
      <c r="D41" s="21"/>
      <c r="E41" s="8"/>
      <c r="F41" s="12"/>
      <c r="G41" s="34"/>
      <c r="H41" s="9"/>
      <c r="I41" s="5"/>
      <c r="J41" s="5"/>
      <c r="K41" s="40"/>
      <c r="L41" s="40">
        <f>SUM(K39:K41)</f>
        <v>8340000</v>
      </c>
      <c r="M41" s="6"/>
      <c r="N41" s="5"/>
      <c r="O41" s="6"/>
      <c r="P41" s="5"/>
      <c r="Q41" s="9"/>
      <c r="R41" s="9"/>
      <c r="S41" s="8"/>
      <c r="T41" s="6"/>
      <c r="U41" s="6"/>
      <c r="V41" s="35"/>
      <c r="W41" s="35"/>
      <c r="X41" s="35"/>
      <c r="Y41" s="35"/>
      <c r="Z41" s="35"/>
      <c r="AA41" s="63"/>
      <c r="AB41" s="53"/>
      <c r="AC41" s="52"/>
      <c r="AD41" s="52"/>
      <c r="AE41" s="52"/>
      <c r="AF41" s="206"/>
    </row>
    <row r="42" spans="1:36" s="49" customFormat="1" ht="75" x14ac:dyDescent="0.25">
      <c r="A42" s="48">
        <v>1</v>
      </c>
      <c r="B42" s="375" t="s">
        <v>14</v>
      </c>
      <c r="C42" s="10" t="s">
        <v>31</v>
      </c>
      <c r="D42" s="72">
        <v>2723161148</v>
      </c>
      <c r="E42" s="72">
        <v>1000128349</v>
      </c>
      <c r="F42" s="161" t="s">
        <v>1189</v>
      </c>
      <c r="G42" s="78">
        <v>8000770582</v>
      </c>
      <c r="H42" s="156">
        <v>45938</v>
      </c>
      <c r="I42" s="14" t="s">
        <v>1190</v>
      </c>
      <c r="J42" s="14" t="s">
        <v>748</v>
      </c>
      <c r="K42" s="80">
        <v>800001</v>
      </c>
      <c r="L42" s="80"/>
      <c r="M42" s="14" t="s">
        <v>1191</v>
      </c>
      <c r="N42" s="90" t="s">
        <v>1192</v>
      </c>
      <c r="O42" s="14"/>
      <c r="P42" s="10" t="s">
        <v>1193</v>
      </c>
      <c r="Q42" s="72" t="s">
        <v>13</v>
      </c>
      <c r="R42" s="72" t="s">
        <v>959</v>
      </c>
      <c r="S42" s="80">
        <v>800001</v>
      </c>
      <c r="T42" s="80">
        <v>800001</v>
      </c>
      <c r="U42" s="80">
        <v>240000.3</v>
      </c>
      <c r="V42" s="47"/>
      <c r="W42" s="47"/>
      <c r="X42" s="47"/>
      <c r="Y42" s="47"/>
      <c r="Z42" s="47"/>
      <c r="AA42" s="63"/>
      <c r="AB42" s="95" t="s">
        <v>206</v>
      </c>
      <c r="AC42" s="48"/>
      <c r="AD42" s="90" t="s">
        <v>1192</v>
      </c>
      <c r="AE42" s="63" t="s">
        <v>1334</v>
      </c>
      <c r="AF42" s="48"/>
    </row>
    <row r="43" spans="1:36" s="23" customFormat="1" x14ac:dyDescent="0.25">
      <c r="A43" s="8"/>
      <c r="B43" s="237"/>
      <c r="C43" s="4"/>
      <c r="D43" s="4"/>
      <c r="E43" s="4"/>
      <c r="F43" s="37"/>
      <c r="G43" s="30"/>
      <c r="H43" s="4"/>
      <c r="I43" s="15"/>
      <c r="J43" s="15"/>
      <c r="K43" s="55"/>
      <c r="L43" s="55">
        <f>K42+L42</f>
        <v>800001</v>
      </c>
      <c r="M43" s="17"/>
      <c r="N43" s="15"/>
      <c r="O43" s="15"/>
      <c r="P43" s="8"/>
      <c r="Q43" s="4"/>
      <c r="R43" s="4"/>
      <c r="S43" s="4"/>
      <c r="T43" s="15"/>
      <c r="U43" s="15"/>
      <c r="V43" s="115"/>
      <c r="W43" s="115"/>
      <c r="X43" s="115"/>
      <c r="Y43" s="115"/>
      <c r="Z43" s="115"/>
      <c r="AA43" s="116"/>
      <c r="AB43" s="197"/>
      <c r="AC43" s="197"/>
      <c r="AD43" s="197"/>
      <c r="AE43" s="197"/>
    </row>
    <row r="44" spans="1:36" s="49" customFormat="1" ht="75" x14ac:dyDescent="0.25">
      <c r="A44" s="48">
        <v>1</v>
      </c>
      <c r="B44" s="393" t="s">
        <v>1282</v>
      </c>
      <c r="C44" s="63" t="s">
        <v>1283</v>
      </c>
      <c r="D44" s="48">
        <v>7805756219</v>
      </c>
      <c r="E44" s="48">
        <v>1000124628</v>
      </c>
      <c r="F44" s="149" t="s">
        <v>1284</v>
      </c>
      <c r="G44" s="48">
        <v>8000774148</v>
      </c>
      <c r="H44" s="394">
        <v>45950</v>
      </c>
      <c r="I44" s="14" t="s">
        <v>1285</v>
      </c>
      <c r="J44" s="395" t="s">
        <v>1278</v>
      </c>
      <c r="K44" s="396">
        <v>3216000</v>
      </c>
      <c r="L44" s="48"/>
      <c r="M44" s="48" t="s">
        <v>11</v>
      </c>
      <c r="N44" s="63" t="s">
        <v>1286</v>
      </c>
      <c r="O44" s="48"/>
      <c r="P44" s="63" t="s">
        <v>1287</v>
      </c>
      <c r="Q44" s="72" t="s">
        <v>13</v>
      </c>
      <c r="R44" s="63" t="s">
        <v>978</v>
      </c>
      <c r="S44" s="80">
        <v>3216000</v>
      </c>
      <c r="T44" s="44">
        <v>3216000</v>
      </c>
      <c r="U44" s="44">
        <v>3216000</v>
      </c>
      <c r="V44" s="48"/>
      <c r="W44" s="48"/>
      <c r="X44" s="48"/>
      <c r="Y44" s="48"/>
      <c r="Z44" s="48"/>
      <c r="AA44" s="48"/>
      <c r="AB44" s="63" t="s">
        <v>1288</v>
      </c>
      <c r="AC44" s="110"/>
      <c r="AD44" s="140" t="s">
        <v>1286</v>
      </c>
      <c r="AE44" s="260" t="s">
        <v>1317</v>
      </c>
      <c r="AF44" s="51" t="s">
        <v>1129</v>
      </c>
    </row>
    <row r="45" spans="1:36" s="23" customFormat="1" ht="15" x14ac:dyDescent="0.25">
      <c r="A45" s="8"/>
      <c r="B45" s="377"/>
      <c r="C45" s="27"/>
      <c r="D45" s="27"/>
      <c r="E45" s="27"/>
      <c r="F45" s="27"/>
      <c r="G45" s="27"/>
      <c r="H45" s="27"/>
      <c r="I45" s="27"/>
      <c r="J45" s="27"/>
      <c r="K45" s="27"/>
      <c r="L45" s="256">
        <f>SUM(K44)</f>
        <v>3216000</v>
      </c>
      <c r="M45" s="27"/>
      <c r="N45" s="27"/>
      <c r="O45" s="27"/>
      <c r="P45" s="27"/>
      <c r="Q45" s="27"/>
      <c r="R45" s="27"/>
      <c r="S45" s="256">
        <f>L45-S44</f>
        <v>0</v>
      </c>
      <c r="T45" s="27"/>
      <c r="U45" s="27"/>
      <c r="V45" s="27"/>
      <c r="W45" s="27"/>
      <c r="X45" s="27"/>
      <c r="Y45" s="27"/>
      <c r="Z45" s="27"/>
      <c r="AA45" s="27"/>
      <c r="AB45" s="27"/>
      <c r="AC45" s="107"/>
      <c r="AD45" s="27"/>
      <c r="AE45" s="27"/>
      <c r="AF45" s="27"/>
    </row>
    <row r="46" spans="1:36" s="159" customFormat="1" ht="120" x14ac:dyDescent="0.25">
      <c r="A46" s="48">
        <v>1</v>
      </c>
      <c r="B46" s="375" t="s">
        <v>131</v>
      </c>
      <c r="C46" s="10" t="s">
        <v>463</v>
      </c>
      <c r="D46" s="72">
        <v>5042120323</v>
      </c>
      <c r="E46" s="72">
        <v>1000101535</v>
      </c>
      <c r="F46" s="76" t="s">
        <v>685</v>
      </c>
      <c r="G46" s="72">
        <v>8000747806</v>
      </c>
      <c r="H46" s="156">
        <v>45831</v>
      </c>
      <c r="I46" s="14" t="s">
        <v>686</v>
      </c>
      <c r="J46" s="14" t="s">
        <v>355</v>
      </c>
      <c r="K46" s="80">
        <v>156257666.16</v>
      </c>
      <c r="L46" s="80"/>
      <c r="M46" s="14" t="s">
        <v>687</v>
      </c>
      <c r="N46" s="14" t="s">
        <v>688</v>
      </c>
      <c r="O46" s="14"/>
      <c r="P46" s="10" t="s">
        <v>689</v>
      </c>
      <c r="Q46" s="72" t="s">
        <v>168</v>
      </c>
      <c r="R46" s="10" t="s">
        <v>105</v>
      </c>
      <c r="S46" s="80">
        <v>156257666.16</v>
      </c>
      <c r="T46" s="80">
        <v>153557666.16</v>
      </c>
      <c r="U46" s="44">
        <v>46877299.850000001</v>
      </c>
      <c r="V46" s="47"/>
      <c r="W46" s="47"/>
      <c r="X46" s="47"/>
      <c r="Y46" s="47"/>
      <c r="Z46" s="47"/>
      <c r="AA46" s="63"/>
      <c r="AB46" s="95" t="s">
        <v>237</v>
      </c>
      <c r="AC46" s="48"/>
      <c r="AD46" s="48"/>
      <c r="AE46" s="48"/>
      <c r="AF46" s="48"/>
    </row>
    <row r="47" spans="1:36" s="159" customFormat="1" x14ac:dyDescent="0.25">
      <c r="A47" s="8"/>
      <c r="B47" s="237"/>
      <c r="C47" s="4"/>
      <c r="D47" s="4"/>
      <c r="E47" s="4"/>
      <c r="F47" s="37"/>
      <c r="G47" s="4"/>
      <c r="H47" s="4"/>
      <c r="I47" s="15"/>
      <c r="J47" s="15"/>
      <c r="K47" s="55"/>
      <c r="L47" s="55">
        <f>K46+L46</f>
        <v>156257666.16</v>
      </c>
      <c r="M47" s="17"/>
      <c r="N47" s="15"/>
      <c r="O47" s="15"/>
      <c r="P47" s="8"/>
      <c r="Q47" s="4"/>
      <c r="R47" s="4"/>
      <c r="S47" s="257">
        <f>L47-S46</f>
        <v>0</v>
      </c>
      <c r="T47" s="15"/>
      <c r="U47" s="15"/>
      <c r="V47" s="33"/>
      <c r="W47" s="33"/>
      <c r="X47" s="33"/>
      <c r="Y47" s="33"/>
      <c r="Z47" s="33"/>
      <c r="AA47" s="52"/>
      <c r="AB47" s="27"/>
      <c r="AC47" s="27"/>
      <c r="AD47" s="27"/>
      <c r="AE47" s="27"/>
      <c r="AF47" s="27"/>
    </row>
    <row r="48" spans="1:36" s="389" customFormat="1" ht="90" x14ac:dyDescent="0.25">
      <c r="A48" s="387">
        <v>1</v>
      </c>
      <c r="B48" s="375" t="s">
        <v>191</v>
      </c>
      <c r="C48" s="10" t="s">
        <v>190</v>
      </c>
      <c r="D48" s="72">
        <v>7708804805</v>
      </c>
      <c r="E48" s="72">
        <v>1000168311</v>
      </c>
      <c r="F48" s="76" t="s">
        <v>774</v>
      </c>
      <c r="G48" s="72">
        <v>8000733219</v>
      </c>
      <c r="H48" s="156">
        <v>45812</v>
      </c>
      <c r="I48" s="14" t="s">
        <v>775</v>
      </c>
      <c r="J48" s="92" t="s">
        <v>748</v>
      </c>
      <c r="K48" s="386">
        <v>16813723.199999999</v>
      </c>
      <c r="L48" s="388"/>
      <c r="M48" s="388"/>
      <c r="N48" s="10" t="s">
        <v>776</v>
      </c>
      <c r="O48" s="10"/>
      <c r="P48" s="92" t="s">
        <v>777</v>
      </c>
      <c r="Q48" s="14" t="s">
        <v>168</v>
      </c>
      <c r="R48" s="10" t="s">
        <v>476</v>
      </c>
      <c r="S48" s="80">
        <v>29348989.190000001</v>
      </c>
      <c r="T48" s="80">
        <v>29348989.190000001</v>
      </c>
      <c r="U48" s="392" t="s">
        <v>40</v>
      </c>
      <c r="V48" s="392"/>
      <c r="W48" s="392"/>
      <c r="X48" s="392"/>
      <c r="Y48" s="392"/>
      <c r="Z48" s="392"/>
      <c r="AA48" s="392"/>
      <c r="AB48" s="392"/>
      <c r="AC48" s="392"/>
      <c r="AD48" s="392"/>
      <c r="AE48" s="392"/>
      <c r="AF48" s="51" t="s">
        <v>1129</v>
      </c>
      <c r="AJ48" s="484" t="s">
        <v>4787</v>
      </c>
    </row>
    <row r="49" spans="1:36" s="389" customFormat="1" ht="60" x14ac:dyDescent="0.25">
      <c r="A49" s="387"/>
      <c r="B49" s="375" t="s">
        <v>191</v>
      </c>
      <c r="C49" s="10" t="s">
        <v>190</v>
      </c>
      <c r="D49" s="72">
        <v>1000168311</v>
      </c>
      <c r="E49" s="72">
        <v>7708804805</v>
      </c>
      <c r="F49" s="76" t="s">
        <v>1336</v>
      </c>
      <c r="G49" s="72">
        <v>9000565367</v>
      </c>
      <c r="H49" s="156">
        <v>45918</v>
      </c>
      <c r="I49" s="14" t="s">
        <v>1337</v>
      </c>
      <c r="J49" s="92" t="s">
        <v>748</v>
      </c>
      <c r="K49" s="386">
        <v>8075619.4199999999</v>
      </c>
      <c r="L49" s="388"/>
      <c r="M49" s="388"/>
      <c r="N49" s="10"/>
      <c r="O49" s="10"/>
      <c r="P49" s="92"/>
      <c r="Q49" s="14" t="s">
        <v>476</v>
      </c>
      <c r="R49" s="10" t="s">
        <v>13</v>
      </c>
      <c r="S49" s="80"/>
      <c r="T49" s="80"/>
      <c r="U49" s="392"/>
      <c r="V49" s="392"/>
      <c r="W49" s="392"/>
      <c r="X49" s="392"/>
      <c r="Y49" s="392"/>
      <c r="Z49" s="392"/>
      <c r="AA49" s="392"/>
      <c r="AB49" s="392"/>
      <c r="AC49" s="392"/>
      <c r="AD49" s="392"/>
      <c r="AE49" s="392"/>
      <c r="AF49" s="51"/>
    </row>
    <row r="50" spans="1:36" s="389" customFormat="1" ht="60" x14ac:dyDescent="0.25">
      <c r="A50" s="387"/>
      <c r="B50" s="375" t="s">
        <v>191</v>
      </c>
      <c r="C50" s="10" t="s">
        <v>190</v>
      </c>
      <c r="D50" s="72">
        <v>1000168311</v>
      </c>
      <c r="E50" s="72">
        <v>7708804805</v>
      </c>
      <c r="F50" s="76" t="s">
        <v>1418</v>
      </c>
      <c r="G50" s="72">
        <v>9000591916</v>
      </c>
      <c r="H50" s="156">
        <v>46003</v>
      </c>
      <c r="I50" s="14" t="s">
        <v>1419</v>
      </c>
      <c r="J50" s="92" t="s">
        <v>748</v>
      </c>
      <c r="K50" s="386">
        <v>4724634.17</v>
      </c>
      <c r="L50" s="388"/>
      <c r="M50" s="388"/>
      <c r="N50" s="10"/>
      <c r="O50" s="10"/>
      <c r="P50" s="92"/>
      <c r="Q50" s="14" t="s">
        <v>476</v>
      </c>
      <c r="R50" s="10" t="s">
        <v>13</v>
      </c>
      <c r="S50" s="80"/>
      <c r="T50" s="80"/>
      <c r="U50" s="392"/>
      <c r="V50" s="392"/>
      <c r="W50" s="392"/>
      <c r="X50" s="392"/>
      <c r="Y50" s="392"/>
      <c r="Z50" s="392"/>
      <c r="AA50" s="392"/>
      <c r="AB50" s="392"/>
      <c r="AC50" s="392"/>
      <c r="AD50" s="392"/>
      <c r="AE50" s="392"/>
      <c r="AF50" s="51"/>
    </row>
    <row r="51" spans="1:36" s="192" customFormat="1" ht="15" x14ac:dyDescent="0.25">
      <c r="A51" s="8"/>
      <c r="B51" s="237"/>
      <c r="C51" s="4"/>
      <c r="D51" s="4"/>
      <c r="E51" s="4"/>
      <c r="F51" s="191"/>
      <c r="G51" s="4"/>
      <c r="H51" s="4"/>
      <c r="I51" s="15"/>
      <c r="J51" s="6"/>
      <c r="K51" s="66"/>
      <c r="L51" s="193">
        <f>SUM(K48:K50)</f>
        <v>29613976.789999999</v>
      </c>
      <c r="M51" s="193"/>
      <c r="N51" s="8"/>
      <c r="O51" s="8"/>
      <c r="P51" s="6"/>
      <c r="Q51" s="6"/>
      <c r="R51" s="6"/>
      <c r="S51" s="55">
        <f>L51-S48</f>
        <v>264987.59999999776</v>
      </c>
      <c r="T51" s="55"/>
      <c r="U51" s="195"/>
      <c r="V51" s="195"/>
      <c r="W51" s="195"/>
      <c r="X51" s="195"/>
      <c r="Y51" s="195"/>
      <c r="Z51" s="195"/>
      <c r="AA51" s="195"/>
      <c r="AB51" s="195"/>
      <c r="AC51" s="195"/>
      <c r="AD51" s="195"/>
      <c r="AE51" s="195"/>
      <c r="AF51" s="210"/>
    </row>
    <row r="52" spans="1:36" s="389" customFormat="1" ht="68.25" customHeight="1" x14ac:dyDescent="0.25">
      <c r="A52" s="387">
        <v>1</v>
      </c>
      <c r="B52" s="375" t="s">
        <v>939</v>
      </c>
      <c r="C52" s="10" t="s">
        <v>225</v>
      </c>
      <c r="D52" s="390">
        <v>253814125700</v>
      </c>
      <c r="E52" s="72">
        <v>2000073815</v>
      </c>
      <c r="F52" s="76" t="s">
        <v>940</v>
      </c>
      <c r="G52" s="72">
        <v>8000750701</v>
      </c>
      <c r="H52" s="156">
        <v>45839</v>
      </c>
      <c r="I52" s="14" t="s">
        <v>716</v>
      </c>
      <c r="J52" s="92" t="s">
        <v>748</v>
      </c>
      <c r="K52" s="386">
        <v>3046000</v>
      </c>
      <c r="L52" s="388"/>
      <c r="M52" s="388"/>
      <c r="N52" s="10" t="s">
        <v>942</v>
      </c>
      <c r="O52" s="10"/>
      <c r="P52" s="92" t="s">
        <v>944</v>
      </c>
      <c r="Q52" s="14" t="s">
        <v>13</v>
      </c>
      <c r="R52" s="10" t="s">
        <v>943</v>
      </c>
      <c r="S52" s="80">
        <v>3676000</v>
      </c>
      <c r="T52" s="80">
        <v>3676000</v>
      </c>
      <c r="U52" s="80">
        <v>913800</v>
      </c>
      <c r="V52" s="80"/>
      <c r="W52" s="80"/>
      <c r="X52" s="80"/>
      <c r="Y52" s="80"/>
      <c r="Z52" s="80"/>
      <c r="AA52" s="80"/>
      <c r="AB52" s="80"/>
      <c r="AC52" s="80"/>
      <c r="AD52" s="80"/>
      <c r="AE52" s="80"/>
      <c r="AF52" s="51" t="s">
        <v>1129</v>
      </c>
    </row>
    <row r="53" spans="1:36" s="389" customFormat="1" ht="68.25" customHeight="1" x14ac:dyDescent="0.25">
      <c r="A53" s="387"/>
      <c r="B53" s="375" t="s">
        <v>939</v>
      </c>
      <c r="C53" s="10" t="s">
        <v>225</v>
      </c>
      <c r="D53" s="390">
        <v>253814125700</v>
      </c>
      <c r="E53" s="72">
        <v>2000073815</v>
      </c>
      <c r="F53" s="76" t="s">
        <v>941</v>
      </c>
      <c r="G53" s="72">
        <v>9000556847</v>
      </c>
      <c r="H53" s="156">
        <v>45855</v>
      </c>
      <c r="I53" s="14" t="s">
        <v>945</v>
      </c>
      <c r="J53" s="92" t="s">
        <v>748</v>
      </c>
      <c r="K53" s="386">
        <v>630000</v>
      </c>
      <c r="L53" s="388"/>
      <c r="M53" s="388"/>
      <c r="N53" s="10" t="s">
        <v>946</v>
      </c>
      <c r="O53" s="10"/>
      <c r="P53" s="92" t="s">
        <v>947</v>
      </c>
      <c r="Q53" s="14" t="s">
        <v>13</v>
      </c>
      <c r="R53" s="10" t="s">
        <v>943</v>
      </c>
      <c r="S53" s="391"/>
      <c r="T53" s="391"/>
      <c r="U53" s="391"/>
      <c r="V53" s="80"/>
      <c r="W53" s="80"/>
      <c r="X53" s="80"/>
      <c r="Y53" s="80"/>
      <c r="Z53" s="80"/>
      <c r="AA53" s="80"/>
      <c r="AB53" s="80"/>
      <c r="AC53" s="80"/>
      <c r="AD53" s="80"/>
      <c r="AE53" s="80"/>
      <c r="AF53" s="391"/>
    </row>
    <row r="54" spans="1:36" s="192" customFormat="1" ht="15" x14ac:dyDescent="0.25">
      <c r="A54" s="8"/>
      <c r="B54" s="237"/>
      <c r="C54" s="4"/>
      <c r="D54" s="4"/>
      <c r="E54" s="4"/>
      <c r="F54" s="191"/>
      <c r="G54" s="17"/>
      <c r="H54" s="4"/>
      <c r="I54" s="15"/>
      <c r="J54" s="6"/>
      <c r="K54" s="66"/>
      <c r="L54" s="193">
        <f>SUM(K52:K54)</f>
        <v>3676000</v>
      </c>
      <c r="M54" s="193"/>
      <c r="N54" s="8"/>
      <c r="O54" s="8"/>
      <c r="P54" s="6"/>
      <c r="Q54" s="6"/>
      <c r="R54" s="6"/>
      <c r="S54" s="211">
        <f>L54-S52</f>
        <v>0</v>
      </c>
      <c r="T54" s="210"/>
      <c r="U54" s="7"/>
      <c r="V54" s="7"/>
      <c r="W54" s="7"/>
      <c r="X54" s="7"/>
      <c r="Y54" s="7"/>
      <c r="Z54" s="7"/>
      <c r="AA54" s="7"/>
      <c r="AB54" s="7"/>
      <c r="AC54" s="7"/>
      <c r="AD54" s="7"/>
      <c r="AE54" s="7"/>
      <c r="AF54" s="210"/>
    </row>
    <row r="55" spans="1:36" s="389" customFormat="1" ht="105" x14ac:dyDescent="0.25">
      <c r="A55" s="387">
        <v>1</v>
      </c>
      <c r="B55" s="375" t="s">
        <v>1444</v>
      </c>
      <c r="C55" s="10" t="s">
        <v>750</v>
      </c>
      <c r="D55" s="72">
        <v>1000148978</v>
      </c>
      <c r="E55" s="72"/>
      <c r="F55" s="76" t="s">
        <v>1445</v>
      </c>
      <c r="G55" s="72">
        <v>8000795738</v>
      </c>
      <c r="H55" s="156">
        <v>46014</v>
      </c>
      <c r="I55" s="14" t="s">
        <v>1446</v>
      </c>
      <c r="J55" s="92" t="s">
        <v>1447</v>
      </c>
      <c r="K55" s="386">
        <v>13573133.380000001</v>
      </c>
      <c r="L55" s="388"/>
      <c r="M55" s="388"/>
      <c r="N55" s="10" t="s">
        <v>1448</v>
      </c>
      <c r="O55" s="10"/>
      <c r="P55" s="14" t="s">
        <v>1449</v>
      </c>
      <c r="Q55" s="14" t="s">
        <v>816</v>
      </c>
      <c r="R55" s="14" t="s">
        <v>1450</v>
      </c>
      <c r="S55" s="80">
        <v>13573133.380000001</v>
      </c>
      <c r="T55" s="80">
        <v>13573133.380000001</v>
      </c>
      <c r="U55" s="80">
        <v>0</v>
      </c>
      <c r="V55" s="80"/>
      <c r="W55" s="80"/>
      <c r="X55" s="80"/>
      <c r="Y55" s="80"/>
      <c r="Z55" s="80"/>
      <c r="AA55" s="80"/>
      <c r="AB55" s="80"/>
      <c r="AC55" s="80"/>
      <c r="AD55" s="80"/>
      <c r="AE55" s="80"/>
      <c r="AF55" s="51" t="s">
        <v>1129</v>
      </c>
    </row>
    <row r="56" spans="1:36" s="192" customFormat="1" ht="15" x14ac:dyDescent="0.25">
      <c r="A56" s="8"/>
      <c r="B56" s="237"/>
      <c r="C56" s="4"/>
      <c r="D56" s="4"/>
      <c r="E56" s="4"/>
      <c r="F56" s="191"/>
      <c r="G56" s="17"/>
      <c r="H56" s="4"/>
      <c r="I56" s="66"/>
      <c r="J56" s="193"/>
      <c r="K56" s="66"/>
      <c r="L56" s="193">
        <f>SUM(K55:K56)</f>
        <v>13573133.380000001</v>
      </c>
      <c r="M56" s="193"/>
      <c r="N56" s="66"/>
      <c r="O56" s="66"/>
      <c r="P56" s="6"/>
      <c r="Q56" s="6"/>
      <c r="R56" s="6"/>
      <c r="S56" s="261">
        <f>L56-S55</f>
        <v>0</v>
      </c>
      <c r="T56" s="6"/>
      <c r="U56" s="66"/>
      <c r="V56" s="66"/>
      <c r="W56" s="66"/>
      <c r="X56" s="66"/>
      <c r="Y56" s="66"/>
      <c r="Z56" s="66"/>
      <c r="AA56" s="66"/>
      <c r="AB56" s="66"/>
      <c r="AC56" s="66"/>
      <c r="AD56" s="66"/>
      <c r="AE56" s="66"/>
      <c r="AF56" s="194"/>
    </row>
    <row r="57" spans="1:36" s="143" customFormat="1" ht="105" x14ac:dyDescent="0.25">
      <c r="A57" s="72">
        <v>1</v>
      </c>
      <c r="B57" s="375" t="s">
        <v>1246</v>
      </c>
      <c r="C57" s="10" t="s">
        <v>1247</v>
      </c>
      <c r="D57" s="384">
        <v>751502541359</v>
      </c>
      <c r="E57" s="72">
        <v>2000154192</v>
      </c>
      <c r="F57" s="385" t="s">
        <v>1248</v>
      </c>
      <c r="G57" s="72">
        <v>8000773895</v>
      </c>
      <c r="H57" s="156">
        <v>45950</v>
      </c>
      <c r="I57" s="14" t="s">
        <v>1249</v>
      </c>
      <c r="J57" s="81" t="s">
        <v>1250</v>
      </c>
      <c r="K57" s="386">
        <v>90416000</v>
      </c>
      <c r="L57" s="72"/>
      <c r="M57" s="10" t="s">
        <v>1251</v>
      </c>
      <c r="N57" s="14" t="s">
        <v>1252</v>
      </c>
      <c r="O57" s="72"/>
      <c r="P57" s="10" t="s">
        <v>1253</v>
      </c>
      <c r="Q57" s="72" t="s">
        <v>168</v>
      </c>
      <c r="R57" s="72" t="s">
        <v>894</v>
      </c>
      <c r="S57" s="80">
        <v>89855203.099999994</v>
      </c>
      <c r="T57" s="44">
        <v>89855203.099999994</v>
      </c>
      <c r="U57" s="44">
        <v>13000000</v>
      </c>
      <c r="V57" s="72"/>
      <c r="W57" s="72"/>
      <c r="X57" s="72"/>
      <c r="Y57" s="72"/>
      <c r="Z57" s="72"/>
      <c r="AA57" s="72"/>
      <c r="AB57" s="144" t="s">
        <v>1254</v>
      </c>
      <c r="AC57" s="78"/>
      <c r="AD57" s="140" t="s">
        <v>1252</v>
      </c>
      <c r="AE57" s="260" t="s">
        <v>1322</v>
      </c>
      <c r="AF57" s="51" t="s">
        <v>1129</v>
      </c>
      <c r="AJ57" s="143" t="s">
        <v>4788</v>
      </c>
    </row>
    <row r="58" spans="1:36" s="23" customFormat="1" ht="15" x14ac:dyDescent="0.25">
      <c r="A58" s="8"/>
      <c r="B58" s="377"/>
      <c r="C58" s="27"/>
      <c r="D58" s="27"/>
      <c r="E58" s="27"/>
      <c r="F58" s="27"/>
      <c r="G58" s="27"/>
      <c r="H58" s="27"/>
      <c r="I58" s="27"/>
      <c r="J58" s="27"/>
      <c r="K58" s="27"/>
      <c r="L58" s="256">
        <f>SUM(K57)</f>
        <v>90416000</v>
      </c>
      <c r="M58" s="27"/>
      <c r="N58" s="27"/>
      <c r="O58" s="27"/>
      <c r="P58" s="27"/>
      <c r="Q58" s="27"/>
      <c r="R58" s="27"/>
      <c r="S58" s="256">
        <f>L58-S57</f>
        <v>560796.90000000596</v>
      </c>
      <c r="T58" s="27"/>
      <c r="U58" s="27"/>
      <c r="V58" s="27"/>
      <c r="W58" s="27"/>
      <c r="X58" s="27"/>
      <c r="Y58" s="27"/>
      <c r="Z58" s="27"/>
      <c r="AA58" s="27"/>
      <c r="AB58" s="27"/>
      <c r="AC58" s="107"/>
      <c r="AD58" s="27"/>
      <c r="AE58" s="27"/>
      <c r="AF58" s="27"/>
    </row>
    <row r="59" spans="1:36" s="207" customFormat="1" ht="131.25" customHeight="1" x14ac:dyDescent="0.25">
      <c r="A59" s="381">
        <v>1</v>
      </c>
      <c r="B59" s="382" t="s">
        <v>45</v>
      </c>
      <c r="C59" s="89" t="s">
        <v>97</v>
      </c>
      <c r="D59" s="88">
        <v>2722052259</v>
      </c>
      <c r="E59" s="10">
        <v>1000105100</v>
      </c>
      <c r="F59" s="150" t="s">
        <v>468</v>
      </c>
      <c r="G59" s="91">
        <v>8000730065</v>
      </c>
      <c r="H59" s="145">
        <v>45765</v>
      </c>
      <c r="I59" s="152" t="s">
        <v>469</v>
      </c>
      <c r="J59" s="152" t="s">
        <v>356</v>
      </c>
      <c r="K59" s="153">
        <v>16428380.26</v>
      </c>
      <c r="L59" s="154"/>
      <c r="M59" s="92" t="s">
        <v>11</v>
      </c>
      <c r="N59" s="152" t="s">
        <v>470</v>
      </c>
      <c r="O59" s="94"/>
      <c r="P59" s="152" t="s">
        <v>471</v>
      </c>
      <c r="Q59" s="73" t="s">
        <v>168</v>
      </c>
      <c r="R59" s="10" t="s">
        <v>105</v>
      </c>
      <c r="S59" s="383">
        <v>16159274</v>
      </c>
      <c r="T59" s="383">
        <v>16159274</v>
      </c>
      <c r="U59" s="146">
        <v>0</v>
      </c>
      <c r="V59" s="151"/>
      <c r="W59" s="151"/>
      <c r="X59" s="151"/>
      <c r="Y59" s="47"/>
      <c r="Z59" s="157"/>
      <c r="AA59" s="157"/>
      <c r="AB59" s="74" t="s">
        <v>342</v>
      </c>
      <c r="AC59" s="74"/>
      <c r="AD59" s="63"/>
      <c r="AE59" s="63"/>
      <c r="AF59" s="51" t="s">
        <v>1129</v>
      </c>
    </row>
    <row r="60" spans="1:36" s="159" customFormat="1" x14ac:dyDescent="0.25">
      <c r="A60" s="8"/>
      <c r="B60" s="237"/>
      <c r="C60" s="4"/>
      <c r="D60" s="4"/>
      <c r="E60" s="4"/>
      <c r="F60" s="37"/>
      <c r="G60" s="4"/>
      <c r="H60" s="4"/>
      <c r="I60" s="15"/>
      <c r="J60" s="15"/>
      <c r="K60" s="55"/>
      <c r="L60" s="55">
        <f>K59+L59</f>
        <v>16428380.26</v>
      </c>
      <c r="M60" s="17"/>
      <c r="N60" s="15"/>
      <c r="O60" s="15"/>
      <c r="P60" s="8"/>
      <c r="Q60" s="4"/>
      <c r="R60" s="4"/>
      <c r="S60" s="257">
        <f>L60-S59</f>
        <v>269106.25999999978</v>
      </c>
      <c r="T60" s="15"/>
      <c r="U60" s="15"/>
      <c r="V60" s="33"/>
      <c r="W60" s="33"/>
      <c r="X60" s="33"/>
      <c r="Y60" s="33"/>
      <c r="Z60" s="33"/>
      <c r="AA60" s="52"/>
      <c r="AB60" s="27"/>
      <c r="AC60" s="27"/>
      <c r="AD60" s="27"/>
      <c r="AE60" s="27"/>
      <c r="AF60" s="27"/>
    </row>
    <row r="61" spans="1:36" s="159" customFormat="1" ht="17.25" customHeight="1" x14ac:dyDescent="0.25">
      <c r="A61" s="10">
        <f>SUM(A3:A60)</f>
        <v>22</v>
      </c>
      <c r="B61" s="375"/>
      <c r="C61" s="46"/>
      <c r="D61" s="46"/>
      <c r="E61" s="10"/>
      <c r="F61" s="10"/>
      <c r="G61" s="77"/>
      <c r="H61" s="19"/>
      <c r="I61" s="46"/>
      <c r="J61" s="45"/>
      <c r="K61" s="45"/>
      <c r="L61" s="142"/>
      <c r="M61" s="142"/>
      <c r="N61" s="14"/>
      <c r="O61" s="45"/>
      <c r="P61" s="14"/>
      <c r="Q61" s="46"/>
      <c r="R61" s="46"/>
      <c r="S61" s="379"/>
      <c r="T61" s="380"/>
      <c r="U61" s="14" t="s">
        <v>37</v>
      </c>
      <c r="V61" s="14"/>
      <c r="W61" s="47"/>
      <c r="X61" s="47"/>
      <c r="Y61" s="47"/>
      <c r="Z61" s="47"/>
      <c r="AA61" s="47"/>
      <c r="AB61" s="63"/>
      <c r="AC61" s="48"/>
      <c r="AD61" s="48"/>
      <c r="AE61" s="48"/>
      <c r="AF61" s="48"/>
    </row>
  </sheetData>
  <autoFilter ref="B2:AF61"/>
  <mergeCells count="27">
    <mergeCell ref="A1:A2"/>
    <mergeCell ref="G1:G2"/>
    <mergeCell ref="B1:B2"/>
    <mergeCell ref="C1:C2"/>
    <mergeCell ref="D1:D2"/>
    <mergeCell ref="E1:E2"/>
    <mergeCell ref="F1:F2"/>
    <mergeCell ref="S1:S2"/>
    <mergeCell ref="H1:H2"/>
    <mergeCell ref="I1:I2"/>
    <mergeCell ref="J1:J2"/>
    <mergeCell ref="K1:K2"/>
    <mergeCell ref="L1:L2"/>
    <mergeCell ref="M1:M2"/>
    <mergeCell ref="N1:N2"/>
    <mergeCell ref="O1:O2"/>
    <mergeCell ref="P1:P2"/>
    <mergeCell ref="Q1:Q2"/>
    <mergeCell ref="R1:R2"/>
    <mergeCell ref="AB1:AB2"/>
    <mergeCell ref="AD1:AF1"/>
    <mergeCell ref="T1:T2"/>
    <mergeCell ref="U1:U2"/>
    <mergeCell ref="V1:X1"/>
    <mergeCell ref="Y1:Y2"/>
    <mergeCell ref="Z1:Z2"/>
    <mergeCell ref="AA1:AA2"/>
  </mergeCells>
  <hyperlinks>
    <hyperlink ref="F3" r:id="rId1"/>
    <hyperlink ref="F7" r:id="rId2"/>
    <hyperlink ref="F4" r:id="rId3"/>
    <hyperlink ref="AB4" r:id="rId4"/>
    <hyperlink ref="F9" r:id="rId5"/>
    <hyperlink ref="F5" r:id="rId6"/>
    <hyperlink ref="F11" r:id="rId7"/>
    <hyperlink ref="F13" r:id="rId8"/>
    <hyperlink ref="F14" r:id="rId9" display="СИБЭРСИБЭМ-24/4567"/>
    <hyperlink ref="F16" r:id="rId10"/>
    <hyperlink ref="F17" r:id="rId11"/>
    <hyperlink ref="F19" r:id="rId12"/>
    <hyperlink ref="F20" r:id="rId13"/>
    <hyperlink ref="AB19" r:id="rId14"/>
    <hyperlink ref="AB20" r:id="rId15"/>
    <hyperlink ref="F22" r:id="rId16"/>
    <hyperlink ref="AB22" r:id="rId17"/>
    <hyperlink ref="F26" r:id="rId18"/>
    <hyperlink ref="F27" r:id="rId19"/>
    <hyperlink ref="F29" r:id="rId20"/>
    <hyperlink ref="F31" r:id="rId21"/>
    <hyperlink ref="AB31" r:id="rId22"/>
    <hyperlink ref="F33" r:id="rId23"/>
    <hyperlink ref="F34" r:id="rId24"/>
    <hyperlink ref="F36" r:id="rId25"/>
    <hyperlink ref="AB36" r:id="rId26"/>
    <hyperlink ref="F37" r:id="rId27"/>
    <hyperlink ref="F39" r:id="rId28"/>
    <hyperlink ref="F40" r:id="rId29"/>
    <hyperlink ref="AB39" r:id="rId30"/>
    <hyperlink ref="AB42" r:id="rId31"/>
    <hyperlink ref="F42" r:id="rId32"/>
    <hyperlink ref="F44" r:id="rId33"/>
    <hyperlink ref="F46" r:id="rId34"/>
    <hyperlink ref="AB46" r:id="rId35"/>
    <hyperlink ref="F48" r:id="rId36"/>
    <hyperlink ref="F49" r:id="rId37"/>
    <hyperlink ref="F52" r:id="rId38"/>
    <hyperlink ref="F53" r:id="rId39"/>
    <hyperlink ref="F55" r:id="rId40"/>
    <hyperlink ref="AB57" r:id="rId41"/>
    <hyperlink ref="F57" r:id="rId42"/>
    <hyperlink ref="F59" r:id="rId43"/>
    <hyperlink ref="AB59" r:id="rId44"/>
  </hyperlinks>
  <pageMargins left="0.70866141732283472" right="0.70866141732283472" top="0.74803149606299213" bottom="0.74803149606299213" header="0.31496062992125984" footer="0.31496062992125984"/>
  <pageSetup paperSize="9" scale="10" orientation="landscape" r:id="rId45"/>
  <extLst>
    <ext xmlns:x14="http://schemas.microsoft.com/office/spreadsheetml/2009/9/main" uri="{CCE6A557-97BC-4b89-ADB6-D9C93CAAB3DF}">
      <x14:dataValidations xmlns:xm="http://schemas.microsoft.com/office/excel/2006/main" count="1">
        <x14:dataValidation type="list" allowBlank="1" showInputMessage="1" showErrorMessage="1">
          <x14:formula1>
            <xm:f>'\\sibgenco.local\share\TGK13_SIBEI_Disk_S\Договорной_отдел_рабочая\[реестр рабочий с 01.06.2021.xlsx]Лист1'!#REF!</xm:f>
          </x14:formula1>
          <xm:sqref>L49:M50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СЗ о претен исков </vt:lpstr>
      <vt:lpstr>Дебиторская задолженность</vt:lpstr>
      <vt:lpstr>Нарушения сроков</vt:lpstr>
      <vt:lpstr>претен исков</vt:lpstr>
      <vt:lpstr>расторгнут</vt:lpstr>
      <vt:lpstr>исполнен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Давыдова Екатерина Михайловна</dc:creator>
  <cp:lastModifiedBy>Корнева Кристина Олеговна \ Kristina Korneva</cp:lastModifiedBy>
  <cp:lastPrinted>2025-06-27T08:00:36Z</cp:lastPrinted>
  <dcterms:created xsi:type="dcterms:W3CDTF">2012-09-14T02:11:46Z</dcterms:created>
  <dcterms:modified xsi:type="dcterms:W3CDTF">2026-04-06T08:21:17Z</dcterms:modified>
</cp:coreProperties>
</file>